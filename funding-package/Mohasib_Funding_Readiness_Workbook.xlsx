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a37ccb7d4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c77e2c5100a46bb"/>
    <x:sheet xmlns:r="http://schemas.openxmlformats.org/officeDocument/2006/relationships" name="Raise &amp; Uses" sheetId="2" r:id="R66f9deebd1bf48cb"/>
    <x:sheet xmlns:r="http://schemas.openxmlformats.org/officeDocument/2006/relationships" name="KPI Snapshot" sheetId="3" r:id="Rb3d4d957cb354f33"/>
    <x:sheet xmlns:r="http://schemas.openxmlformats.org/officeDocument/2006/relationships" name="18M Plan" sheetId="4" r:id="R8466458749174037"/>
    <x:sheet xmlns:r="http://schemas.openxmlformats.org/officeDocument/2006/relationships" name="Unit Economics" sheetId="5" r:id="R42db2b487f1247c7"/>
    <x:sheet xmlns:r="http://schemas.openxmlformats.org/officeDocument/2006/relationships" name="Data Room" sheetId="6" r:id="Rd84d947fe0cc4360"/>
    <x:sheet xmlns:r="http://schemas.openxmlformats.org/officeDocument/2006/relationships" name="Sources &amp; Notes" sheetId="7" r:id="Rd4bbfb0161e346e9"/>
    <x:sheet xmlns:r="http://schemas.openxmlformats.org/officeDocument/2006/relationships" name="Checks" sheetId="8" r:id="R99212b0f317b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@"/>
    <x:numFmt numFmtId="203" formatCode="0.0"/>
    <x:numFmt numFmtId="204" formatCode="0.0x"/>
  </x:numFmts>
  <x:fonts count="1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67085"/>
      <x:name val="Carlito"/>
    </x:font>
    <x:font>
      <x:b/>
      <x:sz val="11"/>
      <x:color rgb="FF0D1526"/>
      <x:name val="Carlito"/>
    </x:font>
    <x:font>
      <x:b/>
      <x:sz val="11"/>
      <x:color rgb="FFFFFFFF"/>
      <x:name val="Carlito"/>
    </x:font>
    <x:font>
      <x:sz val="11"/>
      <x:color rgb="FF1A1A2E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20"/>
      <x:color rgb="FFFFFFFF"/>
      <x:name val="Calibri"/>
    </x:font>
    <x:font>
      <x:i/>
      <x:sz val="10"/>
      <x:color rgb="FF667085"/>
      <x:name val="Calibri"/>
    </x:font>
    <x:font>
      <x:sz val="11"/>
      <x:name val="Calibri"/>
    </x:font>
    <x:font>
      <x:b/>
      <x:sz val="11"/>
      <x:color rgb="FF0D1526"/>
      <x:name val="Calibri"/>
    </x:font>
    <x:font>
      <x:b/>
      <x:sz val="11"/>
      <x:color rgb="FFFFFFFF"/>
      <x:name val="Calibri"/>
    </x:font>
    <x:font>
      <x:sz val="11"/>
      <x:color rgb="FF1A1A2E"/>
      <x:name val="Calibri"/>
    </x:font>
    <x:font>
      <x:sz val="11"/>
      <x:color rgb="FF0000FF"/>
      <x:name val="Calibri"/>
    </x:font>
    <x:font>
      <x:sz val="11"/>
      <x:color rgb="FF008000"/>
      <x:name val="Calibri"/>
    </x:font>
    <x:font>
      <x:b/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D1526"/>
      </x:patternFill>
    </x:fill>
    <x:fill>
      <x:patternFill patternType="solid">
        <x:fgColor rgb="FFFAFAF6"/>
      </x:patternFill>
    </x:fill>
    <x:fill>
      <x:patternFill patternType="solid">
        <x:fgColor rgb="FFF2F4F7"/>
      </x:patternFill>
    </x:fill>
    <x:fill>
      <x:patternFill patternType="solid">
        <x:fgColor rgb="FFC8924A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top style="double">
        <x:color rgb="FF0D1526"/>
      </x:top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1" fontId="6" fillId="6" borderId="0" xfId="0" applyNumberFormat="1" applyFont="1" applyFill="1" applyBorder="1"/>
    <x:xf numFmtId="202" fontId="6" fillId="6" borderId="0" xfId="0" applyNumberFormat="1" applyFont="1" applyFill="1" applyBorder="1"/>
    <x:xf numFmtId="201" fontId="6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7" xfId="0" applyNumberFormat="1" applyFont="1" applyFill="1" applyBorder="1"/>
    <x:xf numFmtId="201" fontId="8" fillId="0" borderId="7" xfId="0" applyNumberFormat="1" applyFont="1" applyFill="1" applyBorder="1"/>
    <x:xf numFmtId="200" fontId="8" fillId="0" borderId="7" xfId="0" applyNumberFormat="1" applyFont="1" applyFill="1" applyBorder="1"/>
    <x:xf numFmtId="203" fontId="0" fillId="0" borderId="0" xfId="0" applyNumberFormat="1" applyFont="1" applyFill="1" applyBorder="1"/>
    <x:xf numFmtId="203" fontId="6" fillId="0" borderId="0" xfId="0" applyNumberFormat="1" applyFont="1" applyFill="1" applyBorder="1"/>
    <x:xf numFmtId="200" fontId="7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3" fontId="6" fillId="6" borderId="0" xfId="0" applyNumberFormat="1" applyFont="1" applyFill="1" applyBorder="1"/>
    <x:xf numFmtId="204" fontId="0" fillId="0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/>
    <x:xf numFmtId="0" fontId="11" fillId="0" borderId="2" xfId="0" applyNumberFormat="1" applyFont="1" applyFill="1" applyBorder="1"/>
    <x:xf numFmtId="0" fontId="12" fillId="4" borderId="3" xfId="0" applyNumberFormat="1" applyFont="1" applyFill="1" applyBorder="1"/>
    <x:xf numFmtId="0" fontId="11" fillId="0" borderId="4" xfId="0" applyNumberFormat="1" applyFont="1" applyFill="1" applyBorder="1"/>
    <x:xf numFmtId="0" fontId="12" fillId="4" borderId="5" xfId="0" applyNumberFormat="1" applyFont="1" applyFill="1" applyBorder="1"/>
    <x:xf numFmtId="0" fontId="11" fillId="0" borderId="6" xfId="0" applyNumberFormat="1" applyFont="1" applyFill="1" applyBorder="1"/>
    <x:xf numFmtId="0" fontId="13" fillId="5" borderId="0" xfId="0" applyNumberFormat="1" applyFont="1" applyFill="1" applyBorder="1"/>
    <x:xf numFmtId="0" fontId="14" fillId="3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1" fillId="6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0" fontId="12" fillId="4" borderId="3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0" fontId="12" fillId="4" borderId="5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/>
    <x:xf numFmtId="200" fontId="15" fillId="6" borderId="0" xfId="0" applyNumberFormat="1" applyFont="1" applyFill="1" applyBorder="1"/>
    <x:xf numFmtId="202" fontId="15" fillId="6" borderId="0" xfId="0" applyNumberFormat="1" applyFont="1" applyFill="1" applyBorder="1"/>
    <x:xf numFmtId="201" fontId="15" fillId="6" borderId="0" xfId="0" applyNumberFormat="1" applyFont="1" applyFill="1" applyBorder="1"/>
    <x:xf numFmtId="201" fontId="15" fillId="0" borderId="0" xfId="0" applyNumberFormat="1" applyFont="1" applyFill="1" applyBorder="1"/>
    <x:xf numFmtId="200" fontId="11" fillId="0" borderId="0" xfId="0" applyNumberFormat="1" applyFont="1" applyFill="1" applyBorder="1"/>
    <x:xf numFmtId="0" fontId="17" fillId="0" borderId="7" xfId="0" applyNumberFormat="1" applyFont="1" applyFill="1" applyBorder="1"/>
    <x:xf numFmtId="201" fontId="17" fillId="0" borderId="7" xfId="0" applyNumberFormat="1" applyFont="1" applyFill="1" applyBorder="1"/>
    <x:xf numFmtId="200" fontId="17" fillId="0" borderId="7" xfId="0" applyNumberFormat="1" applyFont="1" applyFill="1" applyBorder="1"/>
    <x:xf numFmtId="203" fontId="11" fillId="0" borderId="0" xfId="0" applyNumberFormat="1" applyFont="1" applyFill="1" applyBorder="1"/>
    <x:xf numFmtId="203" fontId="15" fillId="0" borderId="0" xfId="0" applyNumberFormat="1" applyFont="1" applyFill="1" applyBorder="1"/>
    <x:xf numFmtId="0" fontId="12" fillId="4" borderId="0" xfId="0" applyNumberFormat="1" applyFont="1" applyFill="1" applyBorder="1" applyAlignment="1">
      <x:alignment vertical="center"/>
    </x:xf>
    <x:xf numFmtId="200" fontId="15" fillId="6" borderId="0" xfId="0" applyNumberFormat="1" applyFont="1" applyFill="1" applyBorder="1" applyAlignment="1">
      <x:alignment vertical="center"/>
    </x:xf>
    <x:xf numFmtId="202" fontId="15" fillId="6" borderId="0" xfId="0" applyNumberFormat="1" applyFont="1" applyFill="1" applyBorder="1" applyAlignment="1">
      <x:alignment vertical="center"/>
    </x:xf>
    <x:xf numFmtId="201" fontId="15" fillId="6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7" fillId="0" borderId="7" xfId="0" applyNumberFormat="1" applyFont="1" applyFill="1" applyBorder="1" applyAlignment="1">
      <x:alignment vertical="center"/>
    </x:xf>
    <x:xf numFmtId="201" fontId="17" fillId="0" borderId="7" xfId="0" applyNumberFormat="1" applyFont="1" applyFill="1" applyBorder="1" applyAlignment="1">
      <x:alignment vertical="center"/>
    </x:xf>
    <x:xf numFmtId="200" fontId="17" fillId="0" borderId="7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203" fontId="15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0" fontId="16" fillId="6" borderId="0" xfId="0" applyNumberFormat="1" applyFont="1" applyFill="1" applyBorder="1"/>
    <x:xf numFmtId="201" fontId="11" fillId="0" borderId="0" xfId="0" applyNumberFormat="1" applyFont="1" applyFill="1" applyBorder="1" applyAlignment="1">
      <x:alignment vertical="center"/>
    </x:xf>
    <x:xf numFmtId="200" fontId="16" fillId="6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200" fontId="15" fillId="3" borderId="0" xfId="0" applyNumberFormat="1" applyFont="1" applyFill="1" applyBorder="1"/>
    <x:xf numFmtId="203" fontId="15" fillId="6" borderId="0" xfId="0" applyNumberFormat="1" applyFont="1" applyFill="1" applyBorder="1"/>
    <x:xf numFmtId="204" fontId="11" fillId="0" borderId="0" xfId="0" applyNumberFormat="1" applyFont="1" applyFill="1" applyBorder="1"/>
    <x:xf numFmtId="200" fontId="15" fillId="3" borderId="0" xfId="0" applyNumberFormat="1" applyFont="1" applyFill="1" applyBorder="1" applyAlignment="1">
      <x:alignment vertical="center"/>
    </x:xf>
    <x:xf numFmtId="203" fontId="15" fillId="6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3f939ea5e4b9e" /><Relationship Type="http://schemas.openxmlformats.org/officeDocument/2006/relationships/theme" Target="/xl/theme/theme1.xml" Id="R7ad7133e733c43c1" /><Relationship Type="http://schemas.openxmlformats.org/officeDocument/2006/relationships/sharedStrings" Target="/xl/sharedStrings.xml" Id="Rac202ec656d34f7e" /><Relationship Type="http://schemas.openxmlformats.org/officeDocument/2006/relationships/worksheet" Target="/xl/worksheets/sheet1.xml" Id="R4c77e2c5100a46bb" /><Relationship Type="http://schemas.openxmlformats.org/officeDocument/2006/relationships/worksheet" Target="/xl/worksheets/sheet2.xml" Id="R66f9deebd1bf48cb" /><Relationship Type="http://schemas.openxmlformats.org/officeDocument/2006/relationships/worksheet" Target="/xl/worksheets/sheet3.xml" Id="Rb3d4d957cb354f33" /><Relationship Type="http://schemas.openxmlformats.org/officeDocument/2006/relationships/worksheet" Target="/xl/worksheets/sheet4.xml" Id="R8466458749174037" /><Relationship Type="http://schemas.openxmlformats.org/officeDocument/2006/relationships/worksheet" Target="/xl/worksheets/sheet5.xml" Id="R42db2b487f1247c7" /><Relationship Type="http://schemas.openxmlformats.org/officeDocument/2006/relationships/worksheet" Target="/xl/worksheets/sheet6.xml" Id="Rd84d947fe0cc4360" /><Relationship Type="http://schemas.openxmlformats.org/officeDocument/2006/relationships/worksheet" Target="/xl/worksheets/sheet7.xml" Id="Rd4bbfb0161e346e9" /><Relationship Type="http://schemas.openxmlformats.org/officeDocument/2006/relationships/worksheet" Target="/xl/worksheets/sheet8.xml" Id="R99212b0f317b40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49" t="str">
        <x:v>MOHASIB — FUNDING READINESS WORKBOOK</x:v>
      </x:c>
      <x:c r="B1" s="49" t="str">
        <x:v>MOHASIB — FUNDING READINESS WORKBOOK</x:v>
      </x:c>
      <x:c r="C1" s="49" t="str">
        <x:v>MOHASIB — FUNDING READINESS WORKBOOK</x:v>
      </x:c>
      <x:c r="D1" s="49" t="str">
        <x:v>MOHASIB — FUNDING READINESS WORKBOOK</x:v>
      </x:c>
      <x:c r="E1" s="49" t="str">
        <x:v>MOHASIB — FUNDING READINESS WORKBOOK</x:v>
      </x:c>
      <x:c r="F1" s="49" t="str">
        <x:v>MOHASIB — FUNDING READINESS WORKBOOK</x:v>
      </x:c>
      <x:c r="G1" s="49" t="str">
        <x:v>MOHASIB — FUNDING READINESS WORKBOOK</x:v>
      </x:c>
      <x:c r="H1" s="49" t="str">
        <x:v>MOHASIB — FUNDING READINESS WORKBOOK</x:v>
      </x:c>
    </x:row>
    <x:row r="2" ht="34" customHeight="1">
      <x:c r="A2" s="49" t="str">
        <x:v>MOHASIB — FUNDING READINESS WORKBOOK</x:v>
      </x:c>
      <x:c r="B2" s="49" t="str">
        <x:v>MOHASIB — FUNDING READINESS WORKBOOK</x:v>
      </x:c>
      <x:c r="C2" s="49" t="str">
        <x:v>MOHASIB — FUNDING READINESS WORKBOOK</x:v>
      </x:c>
      <x:c r="D2" s="49" t="str">
        <x:v>MOHASIB — FUNDING READINESS WORKBOOK</x:v>
      </x:c>
      <x:c r="E2" s="49" t="str">
        <x:v>MOHASIB — FUNDING READINESS WORKBOOK</x:v>
      </x:c>
      <x:c r="F2" s="49" t="str">
        <x:v>MOHASIB — FUNDING READINESS WORKBOOK</x:v>
      </x:c>
      <x:c r="G2" s="49" t="str">
        <x:v>MOHASIB — FUNDING READINESS WORKBOOK</x:v>
      </x:c>
      <x:c r="H2" s="49" t="str">
        <x:v>MOHASIB — FUNDING READINESS WORKBOOK</x:v>
      </x:c>
    </x:row>
    <x:row r="3" ht="26" customHeight="1">
      <x:c r="A3" s="64" t="str">
        <x:v>Pre-seed | Version 1.0 | 28 August 2026 | MAD unless stated otherwise</x:v>
      </x:c>
      <x:c r="B3" s="64" t="str">
        <x:v>Pre-seed | Version 1.0 | 28 August 2026 | MAD unless stated otherwise</x:v>
      </x:c>
      <x:c r="C3" s="64" t="str">
        <x:v>Pre-seed | Version 1.0 | 28 August 2026 | MAD unless stated otherwise</x:v>
      </x:c>
      <x:c r="D3" s="64" t="str">
        <x:v>Pre-seed | Version 1.0 | 28 August 2026 | MAD unless stated otherwise</x:v>
      </x:c>
      <x:c r="E3" s="64" t="str">
        <x:v>Pre-seed | Version 1.0 | 28 August 2026 | MAD unless stated otherwise</x:v>
      </x:c>
      <x:c r="F3" s="64" t="str">
        <x:v>Pre-seed | Version 1.0 | 28 August 2026 | MAD unless stated otherwise</x:v>
      </x:c>
      <x:c r="G3" s="64" t="str">
        <x:v>Pre-seed | Version 1.0 | 28 August 2026 | MAD unless stated otherwise</x:v>
      </x:c>
      <x:c r="H3" s="64" t="str">
        <x:v>Pre-seed | Version 1.0 | 28 August 2026 | MAD unless stated otherwise</x:v>
      </x:c>
    </x:row>
    <x:row r="4">
      <x:c r="A4" s="65"/>
      <x:c r="B4" s="65"/>
      <x:c r="C4" s="65"/>
      <x:c r="D4" s="65"/>
      <x:c r="E4" s="65"/>
      <x:c r="F4" s="65"/>
      <x:c r="G4" s="65"/>
      <x:c r="H4" s="65"/>
    </x:row>
    <x:row r="5">
      <x:c r="A5" s="66" t="str">
        <x:v>Purpose</x:v>
      </x:c>
      <x:c r="B5" s="67" t="str">
        <x:v>Complete the investor package without mixing verified facts with assumptions.</x:v>
      </x:c>
      <x:c r="C5" s="65"/>
      <x:c r="D5" s="65"/>
      <x:c r="E5" s="65"/>
      <x:c r="F5" s="65"/>
      <x:c r="G5" s="65"/>
      <x:c r="H5" s="65"/>
    </x:row>
    <x:row r="6">
      <x:c r="A6" s="68" t="str">
        <x:v>Company</x:v>
      </x:c>
      <x:c r="B6" s="69" t="str">
        <x:v>Mohasib</x:v>
      </x:c>
      <x:c r="C6" s="65"/>
      <x:c r="D6" s="65"/>
      <x:c r="E6" s="65"/>
      <x:c r="F6" s="65"/>
      <x:c r="G6" s="65"/>
      <x:c r="H6" s="65"/>
    </x:row>
    <x:row r="7">
      <x:c r="A7" s="68" t="str">
        <x:v>Founder</x:v>
      </x:c>
      <x:c r="B7" s="69" t="str">
        <x:v>Abdelhamid Ahjame</x:v>
      </x:c>
      <x:c r="C7" s="65"/>
      <x:c r="D7" s="65"/>
      <x:c r="E7" s="65"/>
      <x:c r="F7" s="65"/>
      <x:c r="G7" s="65"/>
      <x:c r="H7" s="65"/>
    </x:row>
    <x:row r="8">
      <x:c r="A8" s="68" t="str">
        <x:v>Stage</x:v>
      </x:c>
      <x:c r="B8" s="69" t="str">
        <x:v>Pre-seed</x:v>
      </x:c>
      <x:c r="C8" s="65"/>
      <x:c r="D8" s="65"/>
      <x:c r="E8" s="65"/>
      <x:c r="F8" s="65"/>
      <x:c r="G8" s="65"/>
      <x:c r="H8" s="65"/>
    </x:row>
    <x:row r="9">
      <x:c r="A9" s="68" t="str">
        <x:v>Model status</x:v>
      </x:c>
      <x:c r="B9" s="69" t="str">
        <x:f>'Checks'!G13</x:f>
        <x:v>NEEDS INPUT</x:v>
      </x:c>
      <x:c r="C9" s="65"/>
      <x:c r="D9" s="65"/>
      <x:c r="E9" s="65"/>
      <x:c r="F9" s="65"/>
      <x:c r="G9" s="65"/>
      <x:c r="H9" s="65"/>
    </x:row>
    <x:row r="10">
      <x:c r="A10" s="68" t="str">
        <x:v>Round status</x:v>
      </x:c>
      <x:c r="B10" s="69" t="str">
        <x:f>'Checks'!G8</x:f>
        <x:v>FAIL</x:v>
      </x:c>
      <x:c r="C10" s="65"/>
      <x:c r="D10" s="65"/>
      <x:c r="E10" s="65"/>
      <x:c r="F10" s="65"/>
      <x:c r="G10" s="65"/>
      <x:c r="H10" s="65"/>
    </x:row>
    <x:row r="11">
      <x:c r="A11" s="70" t="str">
        <x:v>Traction status</x:v>
      </x:c>
      <x:c r="B11" s="71" t="str">
        <x:f>'Checks'!G9</x:f>
        <x:v>FAIL</x:v>
      </x:c>
      <x:c r="C11" s="65"/>
      <x:c r="D11" s="65"/>
      <x:c r="E11" s="65"/>
      <x:c r="F11" s="65"/>
      <x:c r="G11" s="65"/>
      <x:c r="H11" s="65"/>
    </x:row>
    <x:row r="12">
      <x:c r="A12" s="65"/>
      <x:c r="B12" s="65"/>
      <x:c r="C12" s="65"/>
      <x:c r="D12" s="65"/>
      <x:c r="E12" s="65"/>
      <x:c r="F12" s="65"/>
      <x:c r="G12" s="65"/>
      <x:c r="H12" s="65"/>
    </x:row>
    <x:row r="13">
      <x:c r="A13" s="65"/>
      <x:c r="B13" s="65"/>
      <x:c r="C13" s="65"/>
      <x:c r="D13" s="65"/>
      <x:c r="E13" s="65"/>
      <x:c r="F13" s="65"/>
      <x:c r="G13" s="65"/>
      <x:c r="H13" s="65"/>
    </x:row>
    <x:row r="14">
      <x:c r="A14" s="72" t="str">
        <x:v>How to use this workbook</x:v>
      </x:c>
      <x:c r="B14" s="72" t="str">
        <x:v>How to use this workbook</x:v>
      </x:c>
      <x:c r="C14" s="72" t="str">
        <x:v>How to use this workbook</x:v>
      </x:c>
      <x:c r="D14" s="72" t="str">
        <x:v>How to use this workbook</x:v>
      </x:c>
      <x:c r="E14" s="72" t="str">
        <x:v>How to use this workbook</x:v>
      </x:c>
      <x:c r="F14" s="72" t="str">
        <x:v>How to use this workbook</x:v>
      </x:c>
      <x:c r="G14" s="72" t="str">
        <x:v>How to use this workbook</x:v>
      </x:c>
      <x:c r="H14" s="72" t="str">
        <x:v>How to use this workbook</x:v>
      </x:c>
    </x:row>
    <x:row r="15">
      <x:c r="A15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B15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C15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D15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E15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F15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G15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H15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</x:row>
    <x:row r="16">
      <x:c r="A16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B16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C16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D16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E16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F16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G16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H16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</x:row>
    <x:row r="17">
      <x:c r="A17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B17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C17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D17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E17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F17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G17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H17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</x:row>
    <x:row r="18">
      <x:c r="A18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B18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C18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D18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E18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F18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G18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H18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</x:row>
    <x:row r="19">
      <x:c r="A19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B19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C19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D19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E19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F19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G19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  <x:c r="H19" s="73" t="str">
        <x:v>1. Replace yellow cells first.  2. Blue text indicates editable inputs; black text indicates formulas; green text indicates links to other tabs.  3. Keep source notes current.  4. Do not circulate until Checks shows READY.  5. Figures currently at zero are placeholders, not claims.</x:v>
      </x:c>
    </x:row>
    <x:row r="20">
      <x:c r="A20" s="65"/>
      <x:c r="B20" s="65"/>
      <x:c r="C20" s="65"/>
      <x:c r="D20" s="65"/>
      <x:c r="E20" s="65"/>
      <x:c r="F20" s="65"/>
      <x:c r="G20" s="65"/>
      <x:c r="H20" s="65"/>
    </x:row>
    <x:row r="21">
      <x:c r="A21" s="65"/>
      <x:c r="B21" s="65"/>
      <x:c r="C21" s="65"/>
      <x:c r="D21" s="65"/>
      <x:c r="E21" s="65"/>
      <x:c r="F21" s="65"/>
      <x:c r="G21" s="65"/>
      <x:c r="H21" s="65"/>
    </x:row>
    <x:row r="22" ht="25" customHeight="1">
      <x:c r="A22" s="60" t="str">
        <x:v>Legend</x:v>
      </x:c>
      <x:c r="B22" s="60" t="str">
        <x:v>Meaning</x:v>
      </x:c>
      <x:c r="C22" s="65"/>
      <x:c r="D22" s="65"/>
      <x:c r="E22" s="65"/>
      <x:c r="F22" s="65"/>
      <x:c r="G22" s="65"/>
      <x:c r="H22" s="65"/>
    </x:row>
    <x:row r="23">
      <x:c r="A23" s="74" t="str">
        <x:v>Blue text</x:v>
      </x:c>
      <x:c r="B23" s="65" t="str">
        <x:v>Editable assumption or founder input</x:v>
      </x:c>
      <x:c r="C23" s="65"/>
      <x:c r="D23" s="65"/>
      <x:c r="E23" s="65"/>
      <x:c r="F23" s="65"/>
      <x:c r="G23" s="65"/>
      <x:c r="H23" s="65"/>
    </x:row>
    <x:row r="24">
      <x:c r="A24" s="75" t="str">
        <x:v>Green text</x:v>
      </x:c>
      <x:c r="B24" s="65" t="str">
        <x:v>Formula linked to another worksheet</x:v>
      </x:c>
      <x:c r="C24" s="65"/>
      <x:c r="D24" s="65"/>
      <x:c r="E24" s="65"/>
      <x:c r="F24" s="65"/>
      <x:c r="G24" s="65"/>
      <x:c r="H24" s="65"/>
    </x:row>
    <x:row r="25">
      <x:c r="A25" s="76" t="str">
        <x:v>Yellow fill</x:v>
      </x:c>
      <x:c r="B25" s="76" t="str">
        <x:v>Required before investor circulation</x:v>
      </x:c>
      <x:c r="C25" s="65"/>
      <x:c r="D25" s="65"/>
      <x:c r="E25" s="65"/>
      <x:c r="F25" s="65"/>
      <x:c r="G25" s="65"/>
      <x:c r="H25" s="65"/>
    </x:row>
  </x:sheetData>
  <x:mergeCells>
    <x:mergeCell ref="A1:H2"/>
    <x:mergeCell ref="A3:H3"/>
    <x:mergeCell ref="A14:H14"/>
    <x:mergeCell ref="A15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62" hidden="0" customWidth="1"/>
    <x:col min="5" max="5" width="12" hidden="0" customWidth="1"/>
    <x:col min="6" max="6" width="12" hidden="0" customWidth="1"/>
  </x:cols>
  <x:sheetData>
    <x:row r="1" ht="34" customHeight="1">
      <x:c r="A1" s="49" t="str">
        <x:v>RAISE &amp; USES OF FUNDS</x:v>
      </x:c>
      <x:c r="B1" s="49" t="str">
        <x:v>RAISE &amp; USES OF FUNDS</x:v>
      </x:c>
      <x:c r="C1" s="49" t="str">
        <x:v>RAISE &amp; USES OF FUNDS</x:v>
      </x:c>
      <x:c r="D1" s="49" t="str">
        <x:v>RAISE &amp; USES OF FUNDS</x:v>
      </x:c>
      <x:c r="E1" s="49" t="str">
        <x:v>RAISE &amp; USES OF FUNDS</x:v>
      </x:c>
      <x:c r="F1" s="49" t="str">
        <x:v>RAISE &amp; USES OF FUNDS</x:v>
      </x:c>
    </x:row>
    <x:row r="2" ht="34" customHeight="1">
      <x:c r="A2" s="49" t="str">
        <x:v>RAISE &amp; USES OF FUNDS</x:v>
      </x:c>
      <x:c r="B2" s="49" t="str">
        <x:v>RAISE &amp; USES OF FUNDS</x:v>
      </x:c>
      <x:c r="C2" s="49" t="str">
        <x:v>RAISE &amp; USES OF FUNDS</x:v>
      </x:c>
      <x:c r="D2" s="49" t="str">
        <x:v>RAISE &amp; USES OF FUNDS</x:v>
      </x:c>
      <x:c r="E2" s="49" t="str">
        <x:v>RAISE &amp; USES OF FUNDS</x:v>
      </x:c>
      <x:c r="F2" s="49" t="str">
        <x:v>RAISE &amp; USES OF FUNDS</x:v>
      </x:c>
    </x:row>
    <x:row r="3" ht="26" customHeight="1">
      <x:c r="A3" s="64" t="str">
        <x:v>Complete the transaction fields and allocation percentages; amounts calculate automatically.</x:v>
      </x:c>
      <x:c r="B3" s="64" t="str">
        <x:v>Complete the transaction fields and allocation percentages; amounts calculate automatically.</x:v>
      </x:c>
      <x:c r="C3" s="64" t="str">
        <x:v>Complete the transaction fields and allocation percentages; amounts calculate automatically.</x:v>
      </x:c>
      <x:c r="D3" s="64" t="str">
        <x:v>Complete the transaction fields and allocation percentages; amounts calculate automatically.</x:v>
      </x:c>
      <x:c r="E3" s="64" t="str">
        <x:v>Complete the transaction fields and allocation percentages; amounts calculate automatically.</x:v>
      </x:c>
      <x:c r="F3" s="64" t="str">
        <x:v>Complete the transaction fields and allocation percentages; amounts calculate automatically.</x:v>
      </x:c>
    </x:row>
    <x:row r="4">
      <x:c r="A4" s="65"/>
      <x:c r="B4" s="65"/>
      <x:c r="C4" s="65"/>
      <x:c r="D4" s="65"/>
      <x:c r="E4" s="65"/>
      <x:c r="F4" s="65"/>
    </x:row>
    <x:row r="5" ht="23" customHeight="1">
      <x:c r="A5" s="77" t="str">
        <x:v>ROUND PARAMETERS</x:v>
      </x:c>
      <x:c r="B5" s="77" t="str">
        <x:v>ROUND PARAMETERS</x:v>
      </x:c>
      <x:c r="C5" s="77" t="str">
        <x:v>ROUND PARAMETERS</x:v>
      </x:c>
      <x:c r="D5" s="77" t="str">
        <x:v>ROUND PARAMETERS</x:v>
      </x:c>
      <x:c r="E5" s="77" t="str">
        <x:v>ROUND PARAMETERS</x:v>
      </x:c>
      <x:c r="F5" s="77" t="str">
        <x:v>ROUND PARAMETERS</x:v>
      </x:c>
    </x:row>
    <x:row r="6">
      <x:c r="A6" s="89" t="str">
        <x:v>Round size (MAD)</x:v>
      </x:c>
      <x:c r="B6" s="90" t="n">
        <x:v>0</x:v>
      </x:c>
      <x:c r="C6" s="65"/>
      <x:c r="D6" s="65"/>
      <x:c r="E6" s="65"/>
      <x:c r="F6" s="65"/>
    </x:row>
    <x:row r="7">
      <x:c r="A7" s="89" t="str">
        <x:v>Instrument</x:v>
      </x:c>
      <x:c r="B7" s="91" t="str">
        <x:v>TBD</x:v>
      </x:c>
      <x:c r="C7" s="65"/>
      <x:c r="D7" s="65"/>
      <x:c r="E7" s="65"/>
      <x:c r="F7" s="65"/>
    </x:row>
    <x:row r="8">
      <x:c r="A8" s="89" t="str">
        <x:v>Valuation / cap (MAD)</x:v>
      </x:c>
      <x:c r="B8" s="90" t="n">
        <x:v>0</x:v>
      </x:c>
      <x:c r="C8" s="65"/>
      <x:c r="D8" s="65"/>
      <x:c r="E8" s="65"/>
      <x:c r="F8" s="65"/>
    </x:row>
    <x:row r="9">
      <x:c r="A9" s="89" t="str">
        <x:v>Discount</x:v>
      </x:c>
      <x:c r="B9" s="92" t="n">
        <x:v>0</x:v>
      </x:c>
      <x:c r="C9" s="65"/>
      <x:c r="D9" s="65"/>
      <x:c r="E9" s="65"/>
      <x:c r="F9" s="65"/>
    </x:row>
    <x:row r="10">
      <x:c r="A10" s="89" t="str">
        <x:v>Minimum check (MAD)</x:v>
      </x:c>
      <x:c r="B10" s="90" t="n">
        <x:v>0</x:v>
      </x:c>
      <x:c r="C10" s="65"/>
      <x:c r="D10" s="65"/>
      <x:c r="E10" s="65"/>
      <x:c r="F10" s="65"/>
    </x:row>
    <x:row r="11">
      <x:c r="A11" s="89" t="str">
        <x:v>Target close date</x:v>
      </x:c>
      <x:c r="B11" s="91" t="str">
        <x:v>TBD</x:v>
      </x:c>
      <x:c r="C11" s="65"/>
      <x:c r="D11" s="65"/>
      <x:c r="E11" s="65"/>
      <x:c r="F11" s="65"/>
    </x:row>
    <x:row r="12">
      <x:c r="A12" s="89" t="str">
        <x:v>Committed capital (MAD)</x:v>
      </x:c>
      <x:c r="B12" s="90" t="n">
        <x:v>0</x:v>
      </x:c>
      <x:c r="C12" s="65"/>
      <x:c r="D12" s="65"/>
      <x:c r="E12" s="65"/>
      <x:c r="F12" s="65"/>
    </x:row>
    <x:row r="13">
      <x:c r="A13" s="89" t="str">
        <x:v>Cash on hand (MAD)</x:v>
      </x:c>
      <x:c r="B13" s="90" t="n">
        <x:v>0</x:v>
      </x:c>
      <x:c r="C13" s="65"/>
      <x:c r="D13" s="65"/>
      <x:c r="E13" s="65"/>
      <x:c r="F13" s="65"/>
    </x:row>
    <x:row r="14">
      <x:c r="A14" s="89" t="str">
        <x:v>Current monthly burn (MAD)</x:v>
      </x:c>
      <x:c r="B14" s="90" t="n">
        <x:v>0</x:v>
      </x:c>
      <x:c r="C14" s="65"/>
      <x:c r="D14" s="65"/>
      <x:c r="E14" s="65"/>
      <x:c r="F14" s="65"/>
    </x:row>
    <x:row r="15">
      <x:c r="A15" s="65"/>
      <x:c r="B15" s="65"/>
      <x:c r="C15" s="65"/>
      <x:c r="D15" s="65"/>
      <x:c r="E15" s="65"/>
      <x:c r="F15" s="65"/>
    </x:row>
    <x:row r="16">
      <x:c r="A16" s="65"/>
      <x:c r="B16" s="65"/>
      <x:c r="C16" s="65"/>
      <x:c r="D16" s="65"/>
      <x:c r="E16" s="65"/>
      <x:c r="F16" s="65"/>
    </x:row>
    <x:row r="17" ht="23" customHeight="1">
      <x:c r="A17" s="77" t="str">
        <x:v>USE OF FUNDS</x:v>
      </x:c>
      <x:c r="B17" s="77" t="str">
        <x:v>USE OF FUNDS</x:v>
      </x:c>
      <x:c r="C17" s="77" t="str">
        <x:v>USE OF FUNDS</x:v>
      </x:c>
      <x:c r="D17" s="77" t="str">
        <x:v>USE OF FUNDS</x:v>
      </x:c>
      <x:c r="E17" s="77" t="str">
        <x:v>USE OF FUNDS</x:v>
      </x:c>
      <x:c r="F17" s="77" t="str">
        <x:v>USE OF FUNDS</x:v>
      </x:c>
    </x:row>
    <x:row r="18" ht="25" customHeight="1">
      <x:c r="A18" s="60" t="str">
        <x:v>Bucket</x:v>
      </x:c>
      <x:c r="B18" s="60" t="str">
        <x:v>Allocation %</x:v>
      </x:c>
      <x:c r="C18" s="60" t="str">
        <x:v>Amount (MAD)</x:v>
      </x:c>
      <x:c r="D18" s="60" t="str">
        <x:v>Purpose</x:v>
      </x:c>
      <x:c r="E18" s="65"/>
      <x:c r="F18" s="65"/>
    </x:row>
    <x:row r="19">
      <x:c r="A19" s="65" t="str">
        <x:v>Product &amp; engineering</x:v>
      </x:c>
      <x:c r="B19" s="93" t="n">
        <x:v>0.4</x:v>
      </x:c>
      <x:c r="C19" s="94" t="n">
        <x:f>$B$6*B19</x:f>
        <x:v>0</x:v>
      </x:c>
      <x:c r="D19" s="65" t="str">
        <x:v>Reliability, workflow automation, integrations and instrumentation</x:v>
      </x:c>
      <x:c r="E19" s="65"/>
      <x:c r="F19" s="65"/>
    </x:row>
    <x:row r="20">
      <x:c r="A20" s="65" t="str">
        <x:v>Go-to-market</x:v>
      </x:c>
      <x:c r="B20" s="93" t="n">
        <x:v>0.25</x:v>
      </x:c>
      <x:c r="C20" s="94" t="n">
        <x:f>$B$6*B20</x:f>
        <x:v>0</x:v>
      </x:c>
      <x:c r="D20" s="65" t="str">
        <x:v>Founder-led sales, content/SEO, design partners and accountant channel</x:v>
      </x:c>
      <x:c r="E20" s="65"/>
      <x:c r="F20" s="65"/>
    </x:row>
    <x:row r="21">
      <x:c r="A21" s="65" t="str">
        <x:v>Customer success</x:v>
      </x:c>
      <x:c r="B21" s="93" t="n">
        <x:v>0.15</x:v>
      </x:c>
      <x:c r="C21" s="94" t="n">
        <x:f>$B$6*B21</x:f>
        <x:v>0</x:v>
      </x:c>
      <x:c r="D21" s="65" t="str">
        <x:v>Onboarding, migration and portfolio rollout playbooks</x:v>
      </x:c>
      <x:c r="E21" s="65"/>
      <x:c r="F21" s="65"/>
    </x:row>
    <x:row r="22">
      <x:c r="A22" s="65" t="str">
        <x:v>Compliance &amp; operations</x:v>
      </x:c>
      <x:c r="B22" s="93" t="n">
        <x:v>0.1</x:v>
      </x:c>
      <x:c r="C22" s="94" t="n">
        <x:f>$B$6*B22</x:f>
        <x:v>0</x:v>
      </x:c>
      <x:c r="D22" s="65" t="str">
        <x:v>Legal, privacy, security validation and finance operations</x:v>
      </x:c>
      <x:c r="E22" s="65"/>
      <x:c r="F22" s="65"/>
    </x:row>
    <x:row r="23">
      <x:c r="A23" s="65" t="str">
        <x:v>Contingency</x:v>
      </x:c>
      <x:c r="B23" s="93" t="n">
        <x:v>0.1</x:v>
      </x:c>
      <x:c r="C23" s="94" t="n">
        <x:f>$B$6*B23</x:f>
        <x:v>0</x:v>
      </x:c>
      <x:c r="D23" s="65" t="str">
        <x:v>Operating buffer</x:v>
      </x:c>
      <x:c r="E23" s="65"/>
      <x:c r="F23" s="65"/>
    </x:row>
    <x:row r="24">
      <x:c r="A24" s="95" t="str">
        <x:v>Total</x:v>
      </x:c>
      <x:c r="B24" s="96" t="n">
        <x:f>SUM(B19:B23)</x:f>
        <x:v>1</x:v>
      </x:c>
      <x:c r="C24" s="97" t="n">
        <x:f>SUM(C19:C23)</x:f>
        <x:v>0</x:v>
      </x:c>
      <x:c r="D24" s="95" t="str">
        <x:v>Must equal 100% and the round size</x:v>
      </x:c>
      <x:c r="E24" s="65"/>
      <x:c r="F24" s="65"/>
    </x:row>
    <x:row r="25">
      <x:c r="A25" s="65"/>
      <x:c r="B25" s="65"/>
      <x:c r="C25" s="65"/>
      <x:c r="D25" s="65"/>
      <x:c r="E25" s="65"/>
      <x:c r="F25" s="65"/>
    </x:row>
    <x:row r="26">
      <x:c r="A26" s="65"/>
      <x:c r="B26" s="65"/>
      <x:c r="C26" s="65"/>
      <x:c r="D26" s="65"/>
      <x:c r="E26" s="65"/>
      <x:c r="F26" s="65"/>
    </x:row>
    <x:row r="27" ht="23" customHeight="1">
      <x:c r="A27" s="77" t="str">
        <x:v>RUNWAY OUTPUT</x:v>
      </x:c>
      <x:c r="B27" s="77" t="str">
        <x:v>RUNWAY OUTPUT</x:v>
      </x:c>
      <x:c r="C27" s="77" t="str">
        <x:v>RUNWAY OUTPUT</x:v>
      </x:c>
      <x:c r="D27" s="77" t="str">
        <x:v>RUNWAY OUTPUT</x:v>
      </x:c>
      <x:c r="E27" s="77" t="str">
        <x:v>RUNWAY OUTPUT</x:v>
      </x:c>
      <x:c r="F27" s="77" t="str">
        <x:v>RUNWAY OUTPUT</x:v>
      </x:c>
    </x:row>
    <x:row r="28" ht="25" customHeight="1">
      <x:c r="A28" s="60" t="str">
        <x:v>Metric</x:v>
      </x:c>
      <x:c r="B28" s="60" t="str">
        <x:v>Value</x:v>
      </x:c>
      <x:c r="C28" s="65"/>
      <x:c r="D28" s="65"/>
      <x:c r="E28" s="65"/>
      <x:c r="F28" s="65"/>
    </x:row>
    <x:row r="29">
      <x:c r="A29" s="65" t="str">
        <x:v>Total monthly burn after raise</x:v>
      </x:c>
      <x:c r="B29" s="94" t="n">
        <x:f>B14</x:f>
        <x:v>0</x:v>
      </x:c>
      <x:c r="C29" s="65"/>
      <x:c r="D29" s="65"/>
      <x:c r="E29" s="65"/>
      <x:c r="F29" s="65"/>
    </x:row>
    <x:row r="30">
      <x:c r="A30" s="65" t="str">
        <x:v>Pro forma runway (months)</x:v>
      </x:c>
      <x:c r="B30" s="98" t="n">
        <x:f>IF(B29&gt;0,(B13+B6)/B29,0)</x:f>
        <x:v>0</x:v>
      </x:c>
      <x:c r="C30" s="65"/>
      <x:c r="D30" s="65"/>
      <x:c r="E30" s="65"/>
      <x:c r="F30" s="65"/>
    </x:row>
    <x:row r="31">
      <x:c r="A31" s="65" t="str">
        <x:v>Target runway (months)</x:v>
      </x:c>
      <x:c r="B31" s="99" t="n">
        <x:v>18</x:v>
      </x:c>
      <x:c r="C31" s="65"/>
      <x:c r="D31" s="65"/>
      <x:c r="E31" s="65"/>
      <x:c r="F31" s="65"/>
    </x:row>
  </x:sheetData>
  <x:mergeCells>
    <x:mergeCell ref="A1:F2"/>
    <x:mergeCell ref="A3:F3"/>
    <x:mergeCell ref="A5:F5"/>
    <x:mergeCell ref="A17:F17"/>
    <x:mergeCell ref="A27:F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36" hidden="0" customWidth="1"/>
  </x:cols>
  <x:sheetData>
    <x:row r="1" ht="34" customHeight="1">
      <x:c r="A1" s="49" t="str">
        <x:v>KPI SNAPSHOT</x:v>
      </x:c>
      <x:c r="B1" s="49" t="str">
        <x:v>KPI SNAPSHOT</x:v>
      </x:c>
      <x:c r="C1" s="49" t="str">
        <x:v>KPI SNAPSHOT</x:v>
      </x:c>
      <x:c r="D1" s="49" t="str">
        <x:v>KPI SNAPSHOT</x:v>
      </x:c>
      <x:c r="E1" s="49" t="str">
        <x:v>KPI SNAPSHOT</x:v>
      </x:c>
      <x:c r="F1" s="49" t="str">
        <x:v>KPI SNAPSHOT</x:v>
      </x:c>
      <x:c r="G1" s="49" t="str">
        <x:v>KPI SNAPSHOT</x:v>
      </x:c>
    </x:row>
    <x:row r="2" ht="34" customHeight="1">
      <x:c r="A2" s="49" t="str">
        <x:v>KPI SNAPSHOT</x:v>
      </x:c>
      <x:c r="B2" s="49" t="str">
        <x:v>KPI SNAPSHOT</x:v>
      </x:c>
      <x:c r="C2" s="49" t="str">
        <x:v>KPI SNAPSHOT</x:v>
      </x:c>
      <x:c r="D2" s="49" t="str">
        <x:v>KPI SNAPSHOT</x:v>
      </x:c>
      <x:c r="E2" s="49" t="str">
        <x:v>KPI SNAPSHOT</x:v>
      </x:c>
      <x:c r="F2" s="49" t="str">
        <x:v>KPI SNAPSHOT</x:v>
      </x:c>
      <x:c r="G2" s="49" t="str">
        <x:v>KPI SNAPSHOT</x:v>
      </x:c>
    </x:row>
    <x:row r="3" ht="26" customHeight="1">
      <x:c r="A3" s="64" t="str">
        <x:v>Enter current, source-backed company metrics. Zeros are placeholders and will keep readiness checks open.</x:v>
      </x:c>
      <x:c r="B3" s="64" t="str">
        <x:v>Enter current, source-backed company metrics. Zeros are placeholders and will keep readiness checks open.</x:v>
      </x:c>
      <x:c r="C3" s="64" t="str">
        <x:v>Enter current, source-backed company metrics. Zeros are placeholders and will keep readiness checks open.</x:v>
      </x:c>
      <x:c r="D3" s="64" t="str">
        <x:v>Enter current, source-backed company metrics. Zeros are placeholders and will keep readiness checks open.</x:v>
      </x:c>
      <x:c r="E3" s="64" t="str">
        <x:v>Enter current, source-backed company metrics. Zeros are placeholders and will keep readiness checks open.</x:v>
      </x:c>
      <x:c r="F3" s="64" t="str">
        <x:v>Enter current, source-backed company metrics. Zeros are placeholders and will keep readiness checks open.</x:v>
      </x:c>
      <x:c r="G3" s="64" t="str">
        <x:v>Enter current, source-backed company metrics. Zeros are placeholders and will keep readiness checks open.</x:v>
      </x:c>
    </x:row>
    <x:row r="4">
      <x:c r="A4" s="65"/>
      <x:c r="B4" s="65"/>
      <x:c r="C4" s="65"/>
      <x:c r="D4" s="65"/>
      <x:c r="E4" s="65"/>
      <x:c r="F4" s="65"/>
      <x:c r="G4" s="65"/>
    </x:row>
    <x:row r="5" ht="25" customHeight="1">
      <x:c r="A5" s="60" t="str">
        <x:v>Metric</x:v>
      </x:c>
      <x:c r="B5" s="60" t="str">
        <x:v>Current</x:v>
      </x:c>
      <x:c r="C5" s="60" t="str">
        <x:v>Prior month</x:v>
      </x:c>
      <x:c r="D5" s="60" t="str">
        <x:v>Change</x:v>
      </x:c>
      <x:c r="E5" s="60" t="str">
        <x:v>Target / benchmark</x:v>
      </x:c>
      <x:c r="F5" s="60" t="str">
        <x:v>As of</x:v>
      </x:c>
      <x:c r="G5" s="60" t="str">
        <x:v>Source / note</x:v>
      </x:c>
    </x:row>
    <x:row r="6">
      <x:c r="A6" s="65" t="str">
        <x:v>Active companies</x:v>
      </x:c>
      <x:c r="B6" s="90" t="n">
        <x:v>0</x:v>
      </x:c>
      <x:c r="C6" s="90" t="n">
        <x:v>0</x:v>
      </x:c>
      <x:c r="D6" s="102" t="n">
        <x:f>IF(C6&lt;&gt;0,B6/C6-1,0)</x:f>
        <x:v>0</x:v>
      </x:c>
      <x:c r="E6" s="74" t="n">
        <x:v>0</x:v>
      </x:c>
      <x:c r="F6" s="74" t="str">
        <x:v>TBD</x:v>
      </x:c>
      <x:c r="G6" s="74" t="str">
        <x:v>Admin analytics</x:v>
      </x:c>
    </x:row>
    <x:row r="7">
      <x:c r="A7" s="65" t="str">
        <x:v>Active accounting firms</x:v>
      </x:c>
      <x:c r="B7" s="90" t="n">
        <x:v>0</x:v>
      </x:c>
      <x:c r="C7" s="90" t="n">
        <x:v>0</x:v>
      </x:c>
      <x:c r="D7" s="102" t="n">
        <x:f>IF(C7&lt;&gt;0,B7/C7-1,0)</x:f>
        <x:v>0</x:v>
      </x:c>
      <x:c r="E7" s="74" t="n">
        <x:v>10</x:v>
      </x:c>
      <x:c r="F7" s="74" t="str">
        <x:v>TBD</x:v>
      </x:c>
      <x:c r="G7" s="74" t="str">
        <x:v>Admin analytics</x:v>
      </x:c>
    </x:row>
    <x:row r="8">
      <x:c r="A8" s="65" t="str">
        <x:v>Connected client spaces</x:v>
      </x:c>
      <x:c r="B8" s="90" t="n">
        <x:v>0</x:v>
      </x:c>
      <x:c r="C8" s="90" t="n">
        <x:v>0</x:v>
      </x:c>
      <x:c r="D8" s="102" t="n">
        <x:f>IF(C8&lt;&gt;0,B8/C8-1,0)</x:f>
        <x:v>0</x:v>
      </x:c>
      <x:c r="E8" s="74" t="n">
        <x:v>0</x:v>
      </x:c>
      <x:c r="F8" s="74" t="str">
        <x:v>TBD</x:v>
      </x:c>
      <x:c r="G8" s="74" t="str">
        <x:v>Admin analytics</x:v>
      </x:c>
    </x:row>
    <x:row r="9">
      <x:c r="A9" s="65" t="str">
        <x:v>Paid customers</x:v>
      </x:c>
      <x:c r="B9" s="90" t="n">
        <x:v>0</x:v>
      </x:c>
      <x:c r="C9" s="90" t="n">
        <x:v>0</x:v>
      </x:c>
      <x:c r="D9" s="102" t="n">
        <x:f>IF(C9&lt;&gt;0,B9/C9-1,0)</x:f>
        <x:v>0</x:v>
      </x:c>
      <x:c r="E9" s="74" t="n">
        <x:v>0</x:v>
      </x:c>
      <x:c r="F9" s="74" t="str">
        <x:v>TBD</x:v>
      </x:c>
      <x:c r="G9" s="74" t="str">
        <x:v>Billing / contracts</x:v>
      </x:c>
    </x:row>
    <x:row r="10">
      <x:c r="A10" s="65" t="str">
        <x:v>MRR (MAD)</x:v>
      </x:c>
      <x:c r="B10" s="90" t="n">
        <x:v>0</x:v>
      </x:c>
      <x:c r="C10" s="90" t="n">
        <x:v>0</x:v>
      </x:c>
      <x:c r="D10" s="102" t="n">
        <x:f>IF(C10&lt;&gt;0,B10/C10-1,0)</x:f>
        <x:v>0</x:v>
      </x:c>
      <x:c r="E10" s="74" t="n">
        <x:v>0</x:v>
      </x:c>
      <x:c r="F10" s="74" t="str">
        <x:v>TBD</x:v>
      </x:c>
      <x:c r="G10" s="74" t="str">
        <x:v>Billing / bank</x:v>
      </x:c>
    </x:row>
    <x:row r="11">
      <x:c r="A11" s="65" t="str">
        <x:v>ARR (MAD)</x:v>
      </x:c>
      <x:c r="B11" s="103" t="n">
        <x:f>B10*12</x:f>
        <x:v>0</x:v>
      </x:c>
      <x:c r="C11" s="103" t="n">
        <x:f>C10*12</x:f>
        <x:v>0</x:v>
      </x:c>
      <x:c r="D11" s="102" t="n">
        <x:f>IF(C11&lt;&gt;0,B11/C11-1,0)</x:f>
        <x:v>0</x:v>
      </x:c>
      <x:c r="E11" s="74" t="n">
        <x:v>0</x:v>
      </x:c>
      <x:c r="F11" s="74" t="str">
        <x:v>TBD</x:v>
      </x:c>
      <x:c r="G11" s="74" t="str">
        <x:v>Formula from MRR</x:v>
      </x:c>
    </x:row>
    <x:row r="12">
      <x:c r="A12" s="65" t="str">
        <x:v>Free → paid conversion</x:v>
      </x:c>
      <x:c r="B12" s="92" t="n">
        <x:v>0</x:v>
      </x:c>
      <x:c r="C12" s="92" t="n">
        <x:v>0</x:v>
      </x:c>
      <x:c r="D12" s="102" t="n">
        <x:f>IF(C12&lt;&gt;0,B12/C12-1,0)</x:f>
        <x:v>0</x:v>
      </x:c>
      <x:c r="E12" s="93" t="n">
        <x:v>0</x:v>
      </x:c>
      <x:c r="F12" s="74" t="str">
        <x:v>TBD</x:v>
      </x:c>
      <x:c r="G12" s="74" t="str">
        <x:v>Cohort analysis</x:v>
      </x:c>
    </x:row>
    <x:row r="13">
      <x:c r="A13" s="65" t="str">
        <x:v>Gross revenue retention</x:v>
      </x:c>
      <x:c r="B13" s="92" t="n">
        <x:v>0</x:v>
      </x:c>
      <x:c r="C13" s="92" t="n">
        <x:v>0</x:v>
      </x:c>
      <x:c r="D13" s="102" t="n">
        <x:f>IF(C13&lt;&gt;0,B13/C13-1,0)</x:f>
        <x:v>0</x:v>
      </x:c>
      <x:c r="E13" s="93" t="n">
        <x:v>0</x:v>
      </x:c>
      <x:c r="F13" s="74" t="str">
        <x:v>TBD</x:v>
      </x:c>
      <x:c r="G13" s="74" t="str">
        <x:v>Cohort analysis</x:v>
      </x:c>
    </x:row>
    <x:row r="14">
      <x:c r="A14" s="65" t="str">
        <x:v>Net revenue retention</x:v>
      </x:c>
      <x:c r="B14" s="92" t="n">
        <x:v>0</x:v>
      </x:c>
      <x:c r="C14" s="92" t="n">
        <x:v>0</x:v>
      </x:c>
      <x:c r="D14" s="102" t="n">
        <x:f>IF(C14&lt;&gt;0,B14/C14-1,0)</x:f>
        <x:v>0</x:v>
      </x:c>
      <x:c r="E14" s="93" t="n">
        <x:v>0</x:v>
      </x:c>
      <x:c r="F14" s="74" t="str">
        <x:v>TBD</x:v>
      </x:c>
      <x:c r="G14" s="74" t="str">
        <x:v>Cohort analysis</x:v>
      </x:c>
    </x:row>
    <x:row r="15">
      <x:c r="A15" s="65" t="str">
        <x:v>Monthly logo churn</x:v>
      </x:c>
      <x:c r="B15" s="92" t="n">
        <x:v>0</x:v>
      </x:c>
      <x:c r="C15" s="92" t="n">
        <x:v>0</x:v>
      </x:c>
      <x:c r="D15" s="102" t="n">
        <x:f>IF(C15&lt;&gt;0,B15/C15-1,0)</x:f>
        <x:v>0</x:v>
      </x:c>
      <x:c r="E15" s="93" t="n">
        <x:v>0</x:v>
      </x:c>
      <x:c r="F15" s="74" t="str">
        <x:v>TBD</x:v>
      </x:c>
      <x:c r="G15" s="74" t="str">
        <x:v>Cohort analysis</x:v>
      </x:c>
    </x:row>
    <x:row r="16">
      <x:c r="A16" s="65" t="str">
        <x:v>Activation: first invoice</x:v>
      </x:c>
      <x:c r="B16" s="92" t="n">
        <x:v>0</x:v>
      </x:c>
      <x:c r="C16" s="92" t="n">
        <x:v>0</x:v>
      </x:c>
      <x:c r="D16" s="102" t="n">
        <x:f>IF(C16&lt;&gt;0,B16/C16-1,0)</x:f>
        <x:v>0</x:v>
      </x:c>
      <x:c r="E16" s="93" t="n">
        <x:v>0</x:v>
      </x:c>
      <x:c r="F16" s="74" t="str">
        <x:v>TBD</x:v>
      </x:c>
      <x:c r="G16" s="74" t="str">
        <x:v>Product analytics</x:v>
      </x:c>
    </x:row>
    <x:row r="17">
      <x:c r="A17" s="65" t="str">
        <x:v>Activation: first useful close</x:v>
      </x:c>
      <x:c r="B17" s="92" t="n">
        <x:v>0</x:v>
      </x:c>
      <x:c r="C17" s="92" t="n">
        <x:v>0</x:v>
      </x:c>
      <x:c r="D17" s="102" t="n">
        <x:f>IF(C17&lt;&gt;0,B17/C17-1,0)</x:f>
        <x:v>0</x:v>
      </x:c>
      <x:c r="E17" s="93" t="n">
        <x:v>0</x:v>
      </x:c>
      <x:c r="F17" s="74" t="str">
        <x:v>TBD</x:v>
      </x:c>
      <x:c r="G17" s="74" t="str">
        <x:v>Product analytics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8" hidden="0" customWidth="1"/>
    <x:col min="4" max="4" width="22" hidden="0" customWidth="1"/>
    <x:col min="5" max="5" width="28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34" customHeight="1">
      <x:c r="A1" s="49" t="str">
        <x:v>18-MONTH MILESTONE PLAN</x:v>
      </x:c>
      <x:c r="B1" s="49" t="str">
        <x:v>18-MONTH MILESTONE PLAN</x:v>
      </x:c>
      <x:c r="C1" s="49" t="str">
        <x:v>18-MONTH MILESTONE PLAN</x:v>
      </x:c>
      <x:c r="D1" s="49" t="str">
        <x:v>18-MONTH MILESTONE PLAN</x:v>
      </x:c>
      <x:c r="E1" s="49" t="str">
        <x:v>18-MONTH MILESTONE PLAN</x:v>
      </x:c>
      <x:c r="F1" s="49" t="str">
        <x:v>18-MONTH MILESTONE PLAN</x:v>
      </x:c>
      <x:c r="G1" s="49" t="str">
        <x:v>18-MONTH MILESTONE PLAN</x:v>
      </x:c>
      <x:c r="H1" s="49" t="str">
        <x:v>18-MONTH MILESTONE PLAN</x:v>
      </x:c>
    </x:row>
    <x:row r="2" ht="34" customHeight="1">
      <x:c r="A2" s="49" t="str">
        <x:v>18-MONTH MILESTONE PLAN</x:v>
      </x:c>
      <x:c r="B2" s="49" t="str">
        <x:v>18-MONTH MILESTONE PLAN</x:v>
      </x:c>
      <x:c r="C2" s="49" t="str">
        <x:v>18-MONTH MILESTONE PLAN</x:v>
      </x:c>
      <x:c r="D2" s="49" t="str">
        <x:v>18-MONTH MILESTONE PLAN</x:v>
      </x:c>
      <x:c r="E2" s="49" t="str">
        <x:v>18-MONTH MILESTONE PLAN</x:v>
      </x:c>
      <x:c r="F2" s="49" t="str">
        <x:v>18-MONTH MILESTONE PLAN</x:v>
      </x:c>
      <x:c r="G2" s="49" t="str">
        <x:v>18-MONTH MILESTONE PLAN</x:v>
      </x:c>
      <x:c r="H2" s="49" t="str">
        <x:v>18-MONTH MILESTONE PLAN</x:v>
      </x:c>
    </x:row>
    <x:row r="3" ht="26" customHeight="1">
      <x:c r="A3" s="64" t="str">
        <x:v>Milestones mirror the pitch-deck plan and add measurable evidence gates.</x:v>
      </x:c>
      <x:c r="B3" s="64" t="str">
        <x:v>Milestones mirror the pitch-deck plan and add measurable evidence gates.</x:v>
      </x:c>
      <x:c r="C3" s="64" t="str">
        <x:v>Milestones mirror the pitch-deck plan and add measurable evidence gates.</x:v>
      </x:c>
      <x:c r="D3" s="64" t="str">
        <x:v>Milestones mirror the pitch-deck plan and add measurable evidence gates.</x:v>
      </x:c>
      <x:c r="E3" s="64" t="str">
        <x:v>Milestones mirror the pitch-deck plan and add measurable evidence gates.</x:v>
      </x:c>
      <x:c r="F3" s="64" t="str">
        <x:v>Milestones mirror the pitch-deck plan and add measurable evidence gates.</x:v>
      </x:c>
      <x:c r="G3" s="64" t="str">
        <x:v>Milestones mirror the pitch-deck plan and add measurable evidence gates.</x:v>
      </x:c>
      <x:c r="H3" s="64" t="str">
        <x:v>Milestones mirror the pitch-deck plan and add measurable evidence gates.</x:v>
      </x:c>
    </x:row>
    <x:row r="4">
      <x:c r="A4" s="65"/>
      <x:c r="B4" s="65"/>
      <x:c r="C4" s="65"/>
      <x:c r="D4" s="65"/>
      <x:c r="E4" s="65"/>
      <x:c r="F4" s="65"/>
      <x:c r="G4" s="65"/>
      <x:c r="H4" s="65"/>
    </x:row>
    <x:row r="5" ht="25" customHeight="1">
      <x:c r="A5" s="60" t="str">
        <x:v>Phase</x:v>
      </x:c>
      <x:c r="B5" s="60" t="str">
        <x:v>Timing</x:v>
      </x:c>
      <x:c r="C5" s="60" t="str">
        <x:v>Milestone</x:v>
      </x:c>
      <x:c r="D5" s="60" t="str">
        <x:v>Owner</x:v>
      </x:c>
      <x:c r="E5" s="60" t="str">
        <x:v>KPI</x:v>
      </x:c>
      <x:c r="F5" s="60" t="str">
        <x:v>Target</x:v>
      </x:c>
      <x:c r="G5" s="60" t="str">
        <x:v>Status</x:v>
      </x:c>
      <x:c r="H5" s="60" t="str">
        <x:v>Investor evidence</x:v>
      </x:c>
    </x:row>
    <x:row r="6" ht="35" customHeight="1">
      <x:c r="A6" s="106" t="str">
        <x:v>Prove</x:v>
      </x:c>
      <x:c r="B6" s="106" t="str">
        <x:v>M1–M2</x:v>
      </x:c>
      <x:c r="C6" s="106" t="str">
        <x:v>Instrument activation funnel</x:v>
      </x:c>
      <x:c r="D6" s="107" t="str">
        <x:v>Founder / product</x:v>
      </x:c>
      <x:c r="E6" s="107" t="str">
        <x:v>Tracked funnel stages</x:v>
      </x:c>
      <x:c r="F6" s="107" t="str">
        <x:v>Live</x:v>
      </x:c>
      <x:c r="G6" s="107" t="str">
        <x:v>Not Started</x:v>
      </x:c>
      <x:c r="H6" s="106" t="str">
        <x:v>Dashboard + cohort definition</x:v>
      </x:c>
    </x:row>
    <x:row r="7" ht="35" customHeight="1">
      <x:c r="A7" s="106" t="str">
        <x:v>Prove</x:v>
      </x:c>
      <x:c r="B7" s="106" t="str">
        <x:v>M1–M4</x:v>
      </x:c>
      <x:c r="C7" s="106" t="str">
        <x:v>Founder-led onboarding playbook</x:v>
      </x:c>
      <x:c r="D7" s="107" t="str">
        <x:v>Founder</x:v>
      </x:c>
      <x:c r="E7" s="107" t="str">
        <x:v>Time to first useful close</x:v>
      </x:c>
      <x:c r="F7" s="107" t="str">
        <x:v>TBD</x:v>
      </x:c>
      <x:c r="G7" s="107" t="str">
        <x:v>Not Started</x:v>
      </x:c>
      <x:c r="H7" s="106" t="str">
        <x:v>Median by cohort</x:v>
      </x:c>
    </x:row>
    <x:row r="8" ht="35" customHeight="1">
      <x:c r="A8" s="106" t="str">
        <x:v>Prove</x:v>
      </x:c>
      <x:c r="B8" s="106" t="str">
        <x:v>M1–M6</x:v>
      </x:c>
      <x:c r="C8" s="106" t="str">
        <x:v>Recruit accountant design partners</x:v>
      </x:c>
      <x:c r="D8" s="107" t="str">
        <x:v>Founder</x:v>
      </x:c>
      <x:c r="E8" s="107" t="str">
        <x:v>Design partners</x:v>
      </x:c>
      <x:c r="F8" s="107" t="str">
        <x:v>10</x:v>
      </x:c>
      <x:c r="G8" s="107" t="str">
        <x:v>Not Started</x:v>
      </x:c>
      <x:c r="H8" s="106" t="str">
        <x:v>Signed/active partner list</x:v>
      </x:c>
    </x:row>
    <x:row r="9" ht="35" customHeight="1">
      <x:c r="A9" s="106" t="str">
        <x:v>Prove</x:v>
      </x:c>
      <x:c r="B9" s="106" t="str">
        <x:v>M3–M6</x:v>
      </x:c>
      <x:c r="C9" s="106" t="str">
        <x:v>Demonstrate paid activation</x:v>
      </x:c>
      <x:c r="D9" s="107" t="str">
        <x:v>Founder</x:v>
      </x:c>
      <x:c r="E9" s="107" t="str">
        <x:v>Free → paid conversion</x:v>
      </x:c>
      <x:c r="F9" s="107" t="str">
        <x:v>TBD</x:v>
      </x:c>
      <x:c r="G9" s="107" t="str">
        <x:v>Not Started</x:v>
      </x:c>
      <x:c r="H9" s="106" t="str">
        <x:v>Cohort conversion</x:v>
      </x:c>
    </x:row>
    <x:row r="10" ht="35" customHeight="1">
      <x:c r="A10" s="106" t="str">
        <x:v>Repeat</x:v>
      </x:c>
      <x:c r="B10" s="106" t="str">
        <x:v>M6–M9</x:v>
      </x:c>
      <x:c r="C10" s="106" t="str">
        <x:v>Standardize migrations</x:v>
      </x:c>
      <x:c r="D10" s="107" t="str">
        <x:v>Customer success</x:v>
      </x:c>
      <x:c r="E10" s="107" t="str">
        <x:v>Onboarding completion</x:v>
      </x:c>
      <x:c r="F10" s="107" t="str">
        <x:v>TBD</x:v>
      </x:c>
      <x:c r="G10" s="107" t="str">
        <x:v>Not Started</x:v>
      </x:c>
      <x:c r="H10" s="106" t="str">
        <x:v>Playbook + completion rate</x:v>
      </x:c>
    </x:row>
    <x:row r="11" ht="35" customHeight="1">
      <x:c r="A11" s="106" t="str">
        <x:v>Repeat</x:v>
      </x:c>
      <x:c r="B11" s="106" t="str">
        <x:v>M6–M12</x:v>
      </x:c>
      <x:c r="C11" s="106" t="str">
        <x:v>Portfolio rollout motion</x:v>
      </x:c>
      <x:c r="D11" s="107" t="str">
        <x:v>Partnerships</x:v>
      </x:c>
      <x:c r="E11" s="107" t="str">
        <x:v>Clients activated / partner</x:v>
      </x:c>
      <x:c r="F11" s="107" t="str">
        <x:v>TBD</x:v>
      </x:c>
      <x:c r="G11" s="107" t="str">
        <x:v>Not Started</x:v>
      </x:c>
      <x:c r="H11" s="106" t="str">
        <x:v>Partner cohort</x:v>
      </x:c>
    </x:row>
    <x:row r="12" ht="35" customHeight="1">
      <x:c r="A12" s="106" t="str">
        <x:v>Repeat</x:v>
      </x:c>
      <x:c r="B12" s="106" t="str">
        <x:v>M9–M12</x:v>
      </x:c>
      <x:c r="C12" s="106" t="str">
        <x:v>Prove retention and expansion</x:v>
      </x:c>
      <x:c r="D12" s="107" t="str">
        <x:v>Product / CS</x:v>
      </x:c>
      <x:c r="E12" s="107" t="str">
        <x:v>NRR / module attach</x:v>
      </x:c>
      <x:c r="F12" s="107" t="str">
        <x:v>TBD</x:v>
      </x:c>
      <x:c r="G12" s="107" t="str">
        <x:v>Not Started</x:v>
      </x:c>
      <x:c r="H12" s="106" t="str">
        <x:v>12-month cohort view</x:v>
      </x:c>
    </x:row>
    <x:row r="13" ht="35" customHeight="1">
      <x:c r="A13" s="106" t="str">
        <x:v>Scale</x:v>
      </x:c>
      <x:c r="B13" s="106" t="str">
        <x:v>M12–M18</x:v>
      </x:c>
      <x:c r="C13" s="106" t="str">
        <x:v>Build sales and CS capacity</x:v>
      </x:c>
      <x:c r="D13" s="107" t="str">
        <x:v>Founder</x:v>
      </x:c>
      <x:c r="E13" s="107" t="str">
        <x:v>CAC payback / ramp</x:v>
      </x:c>
      <x:c r="F13" s="107" t="str">
        <x:v>TBD</x:v>
      </x:c>
      <x:c r="G13" s="107" t="str">
        <x:v>Not Started</x:v>
      </x:c>
      <x:c r="H13" s="106" t="str">
        <x:v>Rep + channel productivity</x:v>
      </x:c>
    </x:row>
    <x:row r="14" ht="35" customHeight="1">
      <x:c r="A14" s="106" t="str">
        <x:v>Scale</x:v>
      </x:c>
      <x:c r="B14" s="106" t="str">
        <x:v>M12–M18</x:v>
      </x:c>
      <x:c r="C14" s="106" t="str">
        <x:v>Regional readiness gate</x:v>
      </x:c>
      <x:c r="D14" s="107" t="str">
        <x:v>Leadership</x:v>
      </x:c>
      <x:c r="E14" s="107" t="str">
        <x:v>Morocco gate met</x:v>
      </x:c>
      <x:c r="F14" s="107" t="str">
        <x:v>TBD</x:v>
      </x:c>
      <x:c r="G14" s="107" t="str">
        <x:v>Not Started</x:v>
      </x:c>
      <x:c r="H14" s="106" t="str">
        <x:v>Retention, CAC and compliance gate</x:v>
      </x:c>
    </x:row>
  </x:sheetData>
  <x:mergeCells>
    <x:mergeCell ref="A1:H2"/>
    <x:mergeCell ref="A3:H3"/>
  </x:mergeCells>
  <x:conditionalFormatting sqref="G6:G14">
    <x:cfRule type="containsText" dxfId="0" priority="1" operator="containsText" text="Complete"/>
    <x:cfRule type="containsText" dxfId="1" priority="2" operator="containsText" text="Blocked"/>
  </x:conditionalFormatting>
  <x:dataValidations count="1">
    <x:dataValidation type="list" sqref="G6:G14">
      <x:formula1>"Not Started,In Progress,Blocked,Complete"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4" hidden="0" customWidth="1"/>
    <x:col min="4" max="4" width="30" hidden="0" customWidth="1"/>
    <x:col min="5" max="5" width="18" hidden="0" customWidth="1"/>
    <x:col min="6" max="6" width="28" hidden="0" customWidth="1"/>
  </x:cols>
  <x:sheetData>
    <x:row r="1" ht="34" customHeight="1">
      <x:c r="A1" s="49" t="str">
        <x:v>UNIT ECONOMICS — INPUT TEMPLATE</x:v>
      </x:c>
      <x:c r="B1" s="49" t="str">
        <x:v>UNIT ECONOMICS — INPUT TEMPLATE</x:v>
      </x:c>
      <x:c r="C1" s="49" t="str">
        <x:v>UNIT ECONOMICS — INPUT TEMPLATE</x:v>
      </x:c>
      <x:c r="D1" s="49" t="str">
        <x:v>UNIT ECONOMICS — INPUT TEMPLATE</x:v>
      </x:c>
      <x:c r="E1" s="49" t="str">
        <x:v>UNIT ECONOMICS — INPUT TEMPLATE</x:v>
      </x:c>
      <x:c r="F1" s="49" t="str">
        <x:v>UNIT ECONOMICS — INPUT TEMPLATE</x:v>
      </x:c>
    </x:row>
    <x:row r="2" ht="34" customHeight="1">
      <x:c r="A2" s="49" t="str">
        <x:v>UNIT ECONOMICS — INPUT TEMPLATE</x:v>
      </x:c>
      <x:c r="B2" s="49" t="str">
        <x:v>UNIT ECONOMICS — INPUT TEMPLATE</x:v>
      </x:c>
      <x:c r="C2" s="49" t="str">
        <x:v>UNIT ECONOMICS — INPUT TEMPLATE</x:v>
      </x:c>
      <x:c r="D2" s="49" t="str">
        <x:v>UNIT ECONOMICS — INPUT TEMPLATE</x:v>
      </x:c>
      <x:c r="E2" s="49" t="str">
        <x:v>UNIT ECONOMICS — INPUT TEMPLATE</x:v>
      </x:c>
      <x:c r="F2" s="49" t="str">
        <x:v>UNIT ECONOMICS — INPUT TEMPLATE</x:v>
      </x:c>
    </x:row>
    <x:row r="3" ht="26" customHeight="1">
      <x:c r="A3" s="64" t="str">
        <x:v>Guarded formulas prevent placeholder inputs from producing misleading outputs.</x:v>
      </x:c>
      <x:c r="B3" s="64" t="str">
        <x:v>Guarded formulas prevent placeholder inputs from producing misleading outputs.</x:v>
      </x:c>
      <x:c r="C3" s="64" t="str">
        <x:v>Guarded formulas prevent placeholder inputs from producing misleading outputs.</x:v>
      </x:c>
      <x:c r="D3" s="64" t="str">
        <x:v>Guarded formulas prevent placeholder inputs from producing misleading outputs.</x:v>
      </x:c>
      <x:c r="E3" s="64" t="str">
        <x:v>Guarded formulas prevent placeholder inputs from producing misleading outputs.</x:v>
      </x:c>
      <x:c r="F3" s="64" t="str">
        <x:v>Guarded formulas prevent placeholder inputs from producing misleading outputs.</x:v>
      </x:c>
    </x:row>
    <x:row r="4">
      <x:c r="A4" s="65"/>
      <x:c r="B4" s="65"/>
      <x:c r="C4" s="65"/>
      <x:c r="D4" s="65"/>
      <x:c r="E4" s="65"/>
      <x:c r="F4" s="65"/>
    </x:row>
    <x:row r="5" ht="23" customHeight="1">
      <x:c r="A5" s="77" t="str">
        <x:v>ASSUMPTIONS</x:v>
      </x:c>
      <x:c r="B5" s="77" t="str">
        <x:v>ASSUMPTIONS</x:v>
      </x:c>
      <x:c r="C5" s="77" t="str">
        <x:v>ASSUMPTIONS</x:v>
      </x:c>
      <x:c r="D5" s="77" t="str">
        <x:v>PRICING REFERENCE</x:v>
      </x:c>
      <x:c r="E5" s="77" t="str">
        <x:v>PRICING REFERENCE</x:v>
      </x:c>
      <x:c r="F5" s="77" t="str">
        <x:v>PRICING REFERENCE</x:v>
      </x:c>
    </x:row>
    <x:row r="6" ht="25" customHeight="1">
      <x:c r="A6" s="89" t="str">
        <x:v>Average monthly revenue / paid account (MAD)</x:v>
      </x:c>
      <x:c r="B6" s="111" t="n">
        <x:v>299</x:v>
      </x:c>
      <x:c r="C6" s="65"/>
      <x:c r="D6" s="60" t="str">
        <x:v>Item</x:v>
      </x:c>
      <x:c r="E6" s="60" t="str">
        <x:v>Price (MAD TTC)</x:v>
      </x:c>
      <x:c r="F6" s="60" t="str">
        <x:v>Source</x:v>
      </x:c>
    </x:row>
    <x:row r="7">
      <x:c r="A7" s="89" t="str">
        <x:v>Gross margin</x:v>
      </x:c>
      <x:c r="B7" s="92" t="n">
        <x:v>0</x:v>
      </x:c>
      <x:c r="C7" s="65"/>
      <x:c r="D7" s="65" t="str">
        <x:v>Entreprise Flex base</x:v>
      </x:c>
      <x:c r="E7" s="94" t="n">
        <x:v>299</x:v>
      </x:c>
      <x:c r="F7" s="65" t="str">
        <x:v>Local pricing calculator</x:v>
      </x:c>
    </x:row>
    <x:row r="8">
      <x:c r="A8" s="89" t="str">
        <x:v>Monthly logo churn</x:v>
      </x:c>
      <x:c r="B8" s="92" t="n">
        <x:v>0</x:v>
      </x:c>
      <x:c r="C8" s="65"/>
      <x:c r="D8" s="65" t="str">
        <x:v>Cabinet Flex base</x:v>
      </x:c>
      <x:c r="E8" s="94" t="n">
        <x:v>499</x:v>
      </x:c>
      <x:c r="F8" s="65" t="str">
        <x:v>Local pricing calculator</x:v>
      </x:c>
    </x:row>
    <x:row r="9">
      <x:c r="A9" s="89" t="str">
        <x:v>Blended CAC (MAD)</x:v>
      </x:c>
      <x:c r="B9" s="90" t="n">
        <x:v>0</x:v>
      </x:c>
      <x:c r="C9" s="65"/>
      <x:c r="D9" s="65" t="str">
        <x:v>Additional user</x:v>
      </x:c>
      <x:c r="E9" s="94" t="n">
        <x:v>99</x:v>
      </x:c>
      <x:c r="F9" s="65" t="str">
        <x:v>Local pricing calculator</x:v>
      </x:c>
    </x:row>
    <x:row r="10">
      <x:c r="A10" s="89" t="str">
        <x:v>Sales &amp; marketing spend / month (MAD)</x:v>
      </x:c>
      <x:c r="B10" s="90" t="n">
        <x:v>0</x:v>
      </x:c>
      <x:c r="C10" s="65"/>
      <x:c r="D10" s="65" t="str">
        <x:v>Additional employee</x:v>
      </x:c>
      <x:c r="E10" s="94" t="n">
        <x:v>12</x:v>
      </x:c>
      <x:c r="F10" s="65" t="str">
        <x:v>Local pricing calculator</x:v>
      </x:c>
    </x:row>
    <x:row r="11">
      <x:c r="A11" s="89" t="str">
        <x:v>New paid customers / month</x:v>
      </x:c>
      <x:c r="B11" s="90" t="n">
        <x:v>0</x:v>
      </x:c>
      <x:c r="C11" s="65"/>
      <x:c r="D11" s="65" t="str">
        <x:v>Managed dossier</x:v>
      </x:c>
      <x:c r="E11" s="94" t="n">
        <x:v>49</x:v>
      </x:c>
      <x:c r="F11" s="65" t="str">
        <x:v>Local pricing calculator</x:v>
      </x:c>
    </x:row>
    <x:row r="12">
      <x:c r="A12" s="89" t="str">
        <x:v>Monthly expansion / retained account</x:v>
      </x:c>
      <x:c r="B12" s="92" t="n">
        <x:v>0</x:v>
      </x:c>
      <x:c r="C12" s="65"/>
      <x:c r="D12" s="65" t="str">
        <x:v>Connected client space</x:v>
      </x:c>
      <x:c r="E12" s="94" t="n">
        <x:v>149</x:v>
      </x:c>
      <x:c r="F12" s="65" t="str">
        <x:v>Local pricing calculator</x:v>
      </x:c>
    </x:row>
    <x:row r="13">
      <x:c r="A13" s="89" t="str">
        <x:v>Average onboarding cost / new account (MAD)</x:v>
      </x:c>
      <x:c r="B13" s="90" t="n">
        <x:v>0</x:v>
      </x:c>
      <x:c r="C13" s="65"/>
      <x:c r="D13" s="65" t="str">
        <x:v>Business OCR included</x:v>
      </x:c>
      <x:c r="E13" s="94" t="n">
        <x:v>100</x:v>
      </x:c>
      <x:c r="F13" s="65" t="str">
        <x:v>Documents / month</x:v>
      </x:c>
    </x:row>
    <x:row r="14">
      <x:c r="A14" s="89" t="str">
        <x:v>Support cost / active account / month (MAD)</x:v>
      </x:c>
      <x:c r="B14" s="90" t="n">
        <x:v>0</x:v>
      </x:c>
      <x:c r="C14" s="65"/>
      <x:c r="D14" s="65"/>
      <x:c r="E14" s="65"/>
      <x:c r="F14" s="65"/>
    </x:row>
    <x:row r="15">
      <x:c r="A15" s="89" t="str">
        <x:v>Average collection delay (months)</x:v>
      </x:c>
      <x:c r="B15" s="112" t="n">
        <x:v>0</x:v>
      </x:c>
      <x:c r="C15" s="65"/>
      <x:c r="D15" s="65"/>
      <x:c r="E15" s="65"/>
      <x:c r="F15" s="65"/>
    </x:row>
    <x:row r="16">
      <x:c r="A16" s="89" t="str">
        <x:v>Note</x:v>
      </x:c>
      <x:c r="B16" s="65" t="str">
        <x:v>Replace all yellow assumptions with cohort-backed values</x:v>
      </x:c>
      <x:c r="C16" s="65"/>
      <x:c r="D16" s="65"/>
      <x:c r="E16" s="65"/>
      <x:c r="F16" s="65"/>
    </x:row>
    <x:row r="17">
      <x:c r="A17" s="65"/>
      <x:c r="B17" s="65"/>
      <x:c r="C17" s="65"/>
      <x:c r="D17" s="65"/>
      <x:c r="E17" s="65"/>
      <x:c r="F17" s="65"/>
    </x:row>
    <x:row r="18">
      <x:c r="A18" s="65"/>
      <x:c r="B18" s="65"/>
      <x:c r="C18" s="65"/>
      <x:c r="D18" s="65"/>
      <x:c r="E18" s="65"/>
      <x:c r="F18" s="65"/>
    </x:row>
    <x:row r="19" ht="23" customHeight="1">
      <x:c r="A19" s="77" t="str">
        <x:v>OUTPUTS</x:v>
      </x:c>
      <x:c r="B19" s="77" t="str">
        <x:v>OUTPUTS</x:v>
      </x:c>
      <x:c r="C19" s="77" t="str">
        <x:v>OUTPUTS</x:v>
      </x:c>
      <x:c r="D19" s="77" t="str">
        <x:v>OUTPUTS</x:v>
      </x:c>
      <x:c r="E19" s="77" t="str">
        <x:v>OUTPUTS</x:v>
      </x:c>
      <x:c r="F19" s="77" t="str">
        <x:v>OUTPUTS</x:v>
      </x:c>
    </x:row>
    <x:row r="20" ht="25" customHeight="1">
      <x:c r="A20" s="60" t="str">
        <x:v>Metric</x:v>
      </x:c>
      <x:c r="B20" s="60" t="str">
        <x:v>Calculated value</x:v>
      </x:c>
      <x:c r="C20" s="65"/>
      <x:c r="D20" s="65"/>
      <x:c r="E20" s="65"/>
      <x:c r="F20" s="65"/>
    </x:row>
    <x:row r="21">
      <x:c r="A21" s="65" t="str">
        <x:v>Gross profit / account / month</x:v>
      </x:c>
      <x:c r="B21" s="94" t="n">
        <x:f>B6*B7</x:f>
        <x:v>0</x:v>
      </x:c>
      <x:c r="C21" s="65"/>
      <x:c r="D21" s="65"/>
      <x:c r="E21" s="65"/>
      <x:c r="F21" s="65"/>
    </x:row>
    <x:row r="22">
      <x:c r="A22" s="65" t="str">
        <x:v>Contribution / account / month</x:v>
      </x:c>
      <x:c r="B22" s="94" t="n">
        <x:f>B21-B14</x:f>
        <x:v>0</x:v>
      </x:c>
      <x:c r="C22" s="65"/>
      <x:c r="D22" s="65"/>
      <x:c r="E22" s="65"/>
      <x:c r="F22" s="65"/>
    </x:row>
    <x:row r="23">
      <x:c r="A23" s="65" t="str">
        <x:v>CAC payback (months)</x:v>
      </x:c>
      <x:c r="B23" s="98" t="n">
        <x:f>IF(B22&gt;0,B9/B22,0)</x:f>
        <x:v>0</x:v>
      </x:c>
      <x:c r="C23" s="65"/>
      <x:c r="D23" s="65"/>
      <x:c r="E23" s="65"/>
      <x:c r="F23" s="65"/>
    </x:row>
    <x:row r="24">
      <x:c r="A24" s="65" t="str">
        <x:v>Gross-margin LTV (MAD)</x:v>
      </x:c>
      <x:c r="B24" s="94" t="n">
        <x:f>IF(B8&gt;0,B21/B8,0)</x:f>
        <x:v>0</x:v>
      </x:c>
      <x:c r="C24" s="65"/>
      <x:c r="D24" s="65"/>
      <x:c r="E24" s="65"/>
      <x:c r="F24" s="65"/>
    </x:row>
    <x:row r="25">
      <x:c r="A25" s="65" t="str">
        <x:v>LTV / CAC</x:v>
      </x:c>
      <x:c r="B25" s="113" t="n">
        <x:f>IF(B9&gt;0,B24/B9,0)</x:f>
        <x:v>0</x:v>
      </x:c>
      <x:c r="C25" s="65"/>
      <x:c r="D25" s="65"/>
      <x:c r="E25" s="65"/>
      <x:c r="F25" s="65"/>
    </x:row>
    <x:row r="26">
      <x:c r="A26" s="65" t="str">
        <x:v>New logo CAC from monthly spend</x:v>
      </x:c>
      <x:c r="B26" s="94" t="n">
        <x:f>IF(B11&gt;0,B10/B11,0)</x:f>
        <x:v>0</x:v>
      </x:c>
      <x:c r="C26" s="65"/>
      <x:c r="D26" s="65"/>
      <x:c r="E26" s="65"/>
      <x:c r="F26" s="65"/>
    </x:row>
  </x:sheetData>
  <x:mergeCells>
    <x:mergeCell ref="A1:F2"/>
    <x:mergeCell ref="A3:F3"/>
    <x:mergeCell ref="A5:F5"/>
    <x:mergeCell ref="A19:F19"/>
    <x:mergeCell ref="D5:F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5" hidden="0" customWidth="1"/>
    <x:col min="3" max="3" width="16" hidden="0" customWidth="1"/>
    <x:col min="4" max="4" width="16" hidden="0" customWidth="1"/>
    <x:col min="5" max="5" width="22" hidden="0" customWidth="1"/>
    <x:col min="6" max="6" width="42" hidden="0" customWidth="1"/>
    <x:col min="7" max="7" width="36" hidden="0" customWidth="1"/>
  </x:cols>
  <x:sheetData>
    <x:row r="1" ht="34" customHeight="1">
      <x:c r="A1" s="49" t="str">
        <x:v>DATA ROOM CHECKLIST</x:v>
      </x:c>
      <x:c r="B1" s="49" t="str">
        <x:v>DATA ROOM CHECKLIST</x:v>
      </x:c>
      <x:c r="C1" s="49" t="str">
        <x:v>DATA ROOM CHECKLIST</x:v>
      </x:c>
      <x:c r="D1" s="49" t="str">
        <x:v>DATA ROOM CHECKLIST</x:v>
      </x:c>
      <x:c r="E1" s="49" t="str">
        <x:v>DATA ROOM CHECKLIST</x:v>
      </x:c>
      <x:c r="F1" s="49" t="str">
        <x:v>DATA ROOM CHECKLIST</x:v>
      </x:c>
      <x:c r="G1" s="49" t="str">
        <x:v>DATA ROOM CHECKLIST</x:v>
      </x:c>
    </x:row>
    <x:row r="2" ht="34" customHeight="1">
      <x:c r="A2" s="49" t="str">
        <x:v>DATA ROOM CHECKLIST</x:v>
      </x:c>
      <x:c r="B2" s="49" t="str">
        <x:v>DATA ROOM CHECKLIST</x:v>
      </x:c>
      <x:c r="C2" s="49" t="str">
        <x:v>DATA ROOM CHECKLIST</x:v>
      </x:c>
      <x:c r="D2" s="49" t="str">
        <x:v>DATA ROOM CHECKLIST</x:v>
      </x:c>
      <x:c r="E2" s="49" t="str">
        <x:v>DATA ROOM CHECKLIST</x:v>
      </x:c>
      <x:c r="F2" s="49" t="str">
        <x:v>DATA ROOM CHECKLIST</x:v>
      </x:c>
      <x:c r="G2" s="49" t="str">
        <x:v>DATA ROOM CHECKLIST</x:v>
      </x:c>
    </x:row>
    <x:row r="3" ht="26" customHeight="1">
      <x:c r="A3" s="64" t="str">
        <x:v>Use status, owner and link fields to prepare a controlled investor data room.</x:v>
      </x:c>
      <x:c r="B3" s="64" t="str">
        <x:v>Use status, owner and link fields to prepare a controlled investor data room.</x:v>
      </x:c>
      <x:c r="C3" s="64" t="str">
        <x:v>Use status, owner and link fields to prepare a controlled investor data room.</x:v>
      </x:c>
      <x:c r="D3" s="64" t="str">
        <x:v>Use status, owner and link fields to prepare a controlled investor data room.</x:v>
      </x:c>
      <x:c r="E3" s="64" t="str">
        <x:v>Use status, owner and link fields to prepare a controlled investor data room.</x:v>
      </x:c>
      <x:c r="F3" s="64" t="str">
        <x:v>Use status, owner and link fields to prepare a controlled investor data room.</x:v>
      </x:c>
      <x:c r="G3" s="64" t="str">
        <x:v>Use status, owner and link fields to prepare a controlled investor data room.</x:v>
      </x:c>
    </x:row>
    <x:row r="4">
      <x:c r="A4" s="65"/>
      <x:c r="B4" s="65"/>
      <x:c r="C4" s="65"/>
      <x:c r="D4" s="65"/>
      <x:c r="E4" s="65"/>
      <x:c r="F4" s="65"/>
      <x:c r="G4" s="65"/>
    </x:row>
    <x:row r="5" ht="25" customHeight="1">
      <x:c r="A5" s="60" t="str">
        <x:v>Category</x:v>
      </x:c>
      <x:c r="B5" s="60" t="str">
        <x:v>Document / evidence</x:v>
      </x:c>
      <x:c r="C5" s="60" t="str">
        <x:v>Priority</x:v>
      </x:c>
      <x:c r="D5" s="60" t="str">
        <x:v>Status</x:v>
      </x:c>
      <x:c r="E5" s="60" t="str">
        <x:v>Owner</x:v>
      </x:c>
      <x:c r="F5" s="60" t="str">
        <x:v>Link / location</x:v>
      </x:c>
      <x:c r="G5" s="60" t="str">
        <x:v>Notes</x:v>
      </x:c>
    </x:row>
    <x:row r="6" ht="34" customHeight="1">
      <x:c r="A6" s="106" t="str">
        <x:v>Corporate</x:v>
      </x:c>
      <x:c r="B6" s="106" t="str">
        <x:v>Certificate of incorporation / legal identifiers</x:v>
      </x:c>
      <x:c r="C6" s="106" t="str">
        <x:v>Critical</x:v>
      </x:c>
      <x:c r="D6" s="107" t="str">
        <x:v>Missing</x:v>
      </x:c>
      <x:c r="E6" s="107" t="str">
        <x:v>Founder</x:v>
      </x:c>
      <x:c r="F6" s="107" t="str"/>
      <x:c r="G6" s="106" t="str">
        <x:v>Confirm entity and jurisdiction</x:v>
      </x:c>
    </x:row>
    <x:row r="7" ht="34" customHeight="1">
      <x:c r="A7" s="106" t="str">
        <x:v>Corporate</x:v>
      </x:c>
      <x:c r="B7" s="106" t="str">
        <x:v>Fully diluted cap table</x:v>
      </x:c>
      <x:c r="C7" s="106" t="str">
        <x:v>Critical</x:v>
      </x:c>
      <x:c r="D7" s="107" t="str">
        <x:v>Missing</x:v>
      </x:c>
      <x:c r="E7" s="107" t="str">
        <x:v>Founder</x:v>
      </x:c>
      <x:c r="F7" s="107" t="str"/>
      <x:c r="G7" s="106" t="str">
        <x:v>Include SAFEs/notes/options</x:v>
      </x:c>
    </x:row>
    <x:row r="8" ht="34" customHeight="1">
      <x:c r="A8" s="106" t="str">
        <x:v>Corporate</x:v>
      </x:c>
      <x:c r="B8" s="106" t="str">
        <x:v>Founder and employee IP assignments</x:v>
      </x:c>
      <x:c r="C8" s="106" t="str">
        <x:v>Critical</x:v>
      </x:c>
      <x:c r="D8" s="107" t="str">
        <x:v>Missing</x:v>
      </x:c>
      <x:c r="E8" s="107" t="str">
        <x:v>Founder / counsel</x:v>
      </x:c>
      <x:c r="F8" s="107" t="str"/>
      <x:c r="G8" s="106" t="str"/>
    </x:row>
    <x:row r="9" ht="34" customHeight="1">
      <x:c r="A9" s="106" t="str">
        <x:v>Funding</x:v>
      </x:c>
      <x:c r="B9" s="106" t="str">
        <x:v>Round terms and target close</x:v>
      </x:c>
      <x:c r="C9" s="106" t="str">
        <x:v>Critical</x:v>
      </x:c>
      <x:c r="D9" s="107" t="str">
        <x:v>Missing</x:v>
      </x:c>
      <x:c r="E9" s="107" t="str">
        <x:v>Founder</x:v>
      </x:c>
      <x:c r="F9" s="107" t="str"/>
      <x:c r="G9" s="106" t="str"/>
    </x:row>
    <x:row r="10" ht="34" customHeight="1">
      <x:c r="A10" s="106" t="str">
        <x:v>Funding</x:v>
      </x:c>
      <x:c r="B10" s="106" t="str">
        <x:v>Use of funds and 18-month budget</x:v>
      </x:c>
      <x:c r="C10" s="106" t="str">
        <x:v>Critical</x:v>
      </x:c>
      <x:c r="D10" s="107" t="str">
        <x:v>In Progress</x:v>
      </x:c>
      <x:c r="E10" s="107" t="str">
        <x:v>Founder</x:v>
      </x:c>
      <x:c r="F10" s="107" t="str">
        <x:v>Raise &amp; Uses tab</x:v>
      </x:c>
      <x:c r="G10" s="106" t="str">
        <x:v>Complete assumptions</x:v>
      </x:c>
    </x:row>
    <x:row r="11" ht="34" customHeight="1">
      <x:c r="A11" s="106" t="str">
        <x:v>Financial</x:v>
      </x:c>
      <x:c r="B11" s="106" t="str">
        <x:v>Historical P&amp;L, cash and bank support</x:v>
      </x:c>
      <x:c r="C11" s="106" t="str">
        <x:v>Critical</x:v>
      </x:c>
      <x:c r="D11" s="107" t="str">
        <x:v>Missing</x:v>
      </x:c>
      <x:c r="E11" s="107" t="str">
        <x:v>Founder / accountant</x:v>
      </x:c>
      <x:c r="F11" s="107" t="str"/>
      <x:c r="G11" s="106" t="str"/>
    </x:row>
    <x:row r="12" ht="34" customHeight="1">
      <x:c r="A12" s="106" t="str">
        <x:v>Financial</x:v>
      </x:c>
      <x:c r="B12" s="106" t="str">
        <x:v>18-month operating forecast</x:v>
      </x:c>
      <x:c r="C12" s="106" t="str">
        <x:v>Critical</x:v>
      </x:c>
      <x:c r="D12" s="107" t="str">
        <x:v>Missing</x:v>
      </x:c>
      <x:c r="E12" s="107" t="str">
        <x:v>Founder</x:v>
      </x:c>
      <x:c r="F12" s="107" t="str"/>
      <x:c r="G12" s="106" t="str"/>
    </x:row>
    <x:row r="13" ht="34" customHeight="1">
      <x:c r="A13" s="106" t="str">
        <x:v>Traction</x:v>
      </x:c>
      <x:c r="B13" s="106" t="str">
        <x:v>Monthly KPI cohorts and metric definitions</x:v>
      </x:c>
      <x:c r="C13" s="106" t="str">
        <x:v>Critical</x:v>
      </x:c>
      <x:c r="D13" s="107" t="str">
        <x:v>Missing</x:v>
      </x:c>
      <x:c r="E13" s="107" t="str">
        <x:v>Founder / product</x:v>
      </x:c>
      <x:c r="F13" s="107" t="str"/>
      <x:c r="G13" s="106" t="str"/>
    </x:row>
    <x:row r="14" ht="34" customHeight="1">
      <x:c r="A14" s="106" t="str">
        <x:v>Traction</x:v>
      </x:c>
      <x:c r="B14" s="106" t="str">
        <x:v>Customer/pilot list and references</x:v>
      </x:c>
      <x:c r="C14" s="106" t="str">
        <x:v>High</x:v>
      </x:c>
      <x:c r="D14" s="107" t="str">
        <x:v>Missing</x:v>
      </x:c>
      <x:c r="E14" s="107" t="str">
        <x:v>Founder</x:v>
      </x:c>
      <x:c r="F14" s="107" t="str"/>
      <x:c r="G14" s="106" t="str"/>
    </x:row>
    <x:row r="15" ht="34" customHeight="1">
      <x:c r="A15" s="106" t="str">
        <x:v>Commercial</x:v>
      </x:c>
      <x:c r="B15" s="106" t="str">
        <x:v>Pipeline and signed commitments</x:v>
      </x:c>
      <x:c r="C15" s="106" t="str">
        <x:v>High</x:v>
      </x:c>
      <x:c r="D15" s="107" t="str">
        <x:v>Missing</x:v>
      </x:c>
      <x:c r="E15" s="107" t="str">
        <x:v>Founder</x:v>
      </x:c>
      <x:c r="F15" s="107" t="str"/>
      <x:c r="G15" s="106" t="str"/>
    </x:row>
    <x:row r="16" ht="34" customHeight="1">
      <x:c r="A16" s="106" t="str">
        <x:v>Product</x:v>
      </x:c>
      <x:c r="B16" s="106" t="str">
        <x:v>Investor pitch deck</x:v>
      </x:c>
      <x:c r="C16" s="106" t="str">
        <x:v>Critical</x:v>
      </x:c>
      <x:c r="D16" s="107" t="str">
        <x:v>Ready</x:v>
      </x:c>
      <x:c r="E16" s="107" t="str">
        <x:v>Founder</x:v>
      </x:c>
      <x:c r="F16" s="107" t="str">
        <x:v>Mohasib_Investor_Pitch_Deck.pptx</x:v>
      </x:c>
      <x:c r="G16" s="106" t="str">
        <x:v>Existing deck</x:v>
      </x:c>
    </x:row>
    <x:row r="17" ht="34" customHeight="1">
      <x:c r="A17" s="106" t="str">
        <x:v>Product</x:v>
      </x:c>
      <x:c r="B17" s="106" t="str">
        <x:v>Company and funding memo</x:v>
      </x:c>
      <x:c r="C17" s="106" t="str">
        <x:v>Critical</x:v>
      </x:c>
      <x:c r="D17" s="107" t="str">
        <x:v>Ready</x:v>
      </x:c>
      <x:c r="E17" s="107" t="str">
        <x:v>Founder</x:v>
      </x:c>
      <x:c r="F17" s="107" t="str">
        <x:v>Mohasib_Company_and_Funding_Memo.docx</x:v>
      </x:c>
      <x:c r="G17" s="106" t="str">
        <x:v>Prepared with explicit gaps</x:v>
      </x:c>
    </x:row>
    <x:row r="18" ht="34" customHeight="1">
      <x:c r="A18" s="106" t="str">
        <x:v>Product</x:v>
      </x:c>
      <x:c r="B18" s="106" t="str">
        <x:v>Product roadmap and release evidence</x:v>
      </x:c>
      <x:c r="C18" s="106" t="str">
        <x:v>High</x:v>
      </x:c>
      <x:c r="D18" s="107" t="str">
        <x:v>In Progress</x:v>
      </x:c>
      <x:c r="E18" s="107" t="str">
        <x:v>Founder / product</x:v>
      </x:c>
      <x:c r="F18" s="107" t="str">
        <x:v>Repository + release checklist</x:v>
      </x:c>
      <x:c r="G18" s="106" t="str"/>
    </x:row>
    <x:row r="19" ht="34" customHeight="1">
      <x:c r="A19" s="106" t="str">
        <x:v>Security</x:v>
      </x:c>
      <x:c r="B19" s="106" t="str">
        <x:v>Security architecture and audit summary</x:v>
      </x:c>
      <x:c r="C19" s="106" t="str">
        <x:v>High</x:v>
      </x:c>
      <x:c r="D19" s="107" t="str">
        <x:v>In Progress</x:v>
      </x:c>
      <x:c r="E19" s="107" t="str">
        <x:v>Engineering</x:v>
      </x:c>
      <x:c r="F19" s="107" t="str">
        <x:v>reports/app-audit-2026-08-18.md</x:v>
      </x:c>
      <x:c r="G19" s="106" t="str">
        <x:v>Static/local audit</x:v>
      </x:c>
    </x:row>
    <x:row r="20" ht="34" customHeight="1">
      <x:c r="A20" s="106" t="str">
        <x:v>Legal</x:v>
      </x:c>
      <x:c r="B20" s="106" t="str">
        <x:v>CGU/privacy policy legal sign-off</x:v>
      </x:c>
      <x:c r="C20" s="106" t="str">
        <x:v>Critical</x:v>
      </x:c>
      <x:c r="D20" s="107" t="str">
        <x:v>Missing</x:v>
      </x:c>
      <x:c r="E20" s="107" t="str">
        <x:v>Founder / counsel</x:v>
      </x:c>
      <x:c r="F20" s="107" t="str"/>
      <x:c r="G20" s="106" t="str">
        <x:v>Audit identifies open items</x:v>
      </x:c>
    </x:row>
    <x:row r="21" ht="34" customHeight="1">
      <x:c r="A21" s="106" t="str">
        <x:v>Legal</x:v>
      </x:c>
      <x:c r="B21" s="106" t="str">
        <x:v>Customer/vendor contracts and DPAs</x:v>
      </x:c>
      <x:c r="C21" s="106" t="str">
        <x:v>High</x:v>
      </x:c>
      <x:c r="D21" s="107" t="str">
        <x:v>Missing</x:v>
      </x:c>
      <x:c r="E21" s="107" t="str">
        <x:v>Founder / counsel</x:v>
      </x:c>
      <x:c r="F21" s="107" t="str"/>
      <x:c r="G21" s="106" t="str"/>
    </x:row>
    <x:row r="22" ht="34" customHeight="1">
      <x:c r="A22" s="106" t="str">
        <x:v>People</x:v>
      </x:c>
      <x:c r="B22" s="106" t="str">
        <x:v>Founder bio and hiring plan</x:v>
      </x:c>
      <x:c r="C22" s="106" t="str">
        <x:v>High</x:v>
      </x:c>
      <x:c r="D22" s="107" t="str">
        <x:v>Missing</x:v>
      </x:c>
      <x:c r="E22" s="107" t="str">
        <x:v>Founder</x:v>
      </x:c>
      <x:c r="F22" s="107" t="str"/>
      <x:c r="G22" s="106" t="str"/>
    </x:row>
    <x:row r="23" ht="34" customHeight="1">
      <x:c r="A23" s="106" t="str">
        <x:v>Market</x:v>
      </x:c>
      <x:c r="B23" s="106" t="str">
        <x:v>Market sources and competitive evidence</x:v>
      </x:c>
      <x:c r="C23" s="106" t="str">
        <x:v>Medium</x:v>
      </x:c>
      <x:c r="D23" s="107" t="str">
        <x:v>In Progress</x:v>
      </x:c>
      <x:c r="E23" s="107" t="str">
        <x:v>Founder</x:v>
      </x:c>
      <x:c r="F23" s="107" t="str">
        <x:v>Deck notes</x:v>
      </x:c>
      <x:c r="G23" s="106" t="str">
        <x:v>Refresh before distribution</x:v>
      </x:c>
    </x:row>
    <x:row r="24" ht="34" customHeight="1">
      <x:c r="A24" s="106" t="str">
        <x:v>Operations</x:v>
      </x:c>
      <x:c r="B24" s="106" t="str">
        <x:v>Insurance, tax and compliance records</x:v>
      </x:c>
      <x:c r="C24" s="106" t="str">
        <x:v>Medium</x:v>
      </x:c>
      <x:c r="D24" s="107" t="str">
        <x:v>Missing</x:v>
      </x:c>
      <x:c r="E24" s="107" t="str">
        <x:v>Founder / accountant</x:v>
      </x:c>
      <x:c r="F24" s="107" t="str"/>
      <x:c r="G24" s="106" t="str"/>
    </x:row>
  </x:sheetData>
  <x:mergeCells>
    <x:mergeCell ref="A1:G2"/>
    <x:mergeCell ref="A3:G3"/>
  </x:mergeCells>
  <x:conditionalFormatting sqref="D6:D24">
    <x:cfRule type="containsText" dxfId="2" priority="1" operator="containsText" text="Ready"/>
    <x:cfRule type="containsText" dxfId="3" priority="2" operator="containsText" text="Missing"/>
  </x:conditionalFormatting>
  <x:dataValidations count="2">
    <x:dataValidation type="list" sqref="C6:C24">
      <x:formula1>"Critical,High,Medium,Low"</x:formula1>
    </x:dataValidation>
    <x:dataValidation type="list" sqref="D6:D24">
      <x:formula1>"Missing,In Progress,Ready,Not Applicable"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1" hidden="0" customWidth="1"/>
    <x:col min="7" max="7" width="68" hidden="0" customWidth="1"/>
    <x:col min="8" max="8" width="24" hidden="0" customWidth="1"/>
    <x:col min="9" max="9" width="36" hidden="0" customWidth="1"/>
  </x:cols>
  <x:sheetData>
    <x:row r="1" ht="34" customHeight="1">
      <x:c r="A1" s="49" t="str">
        <x:v>SOURCES &amp; NOTES</x:v>
      </x:c>
      <x:c r="B1" s="49" t="str">
        <x:v>SOURCES &amp; NOTES</x:v>
      </x:c>
      <x:c r="C1" s="49" t="str">
        <x:v>SOURCES &amp; NOTES</x:v>
      </x:c>
      <x:c r="D1" s="49" t="str">
        <x:v>SOURCES &amp; NOTES</x:v>
      </x:c>
      <x:c r="E1" s="49" t="str">
        <x:v>SOURCES &amp; NOTES</x:v>
      </x:c>
      <x:c r="F1" s="49" t="str">
        <x:v>SOURCES &amp; NOTES</x:v>
      </x:c>
      <x:c r="G1" s="49" t="str">
        <x:v>SOURCES &amp; NOTES</x:v>
      </x:c>
      <x:c r="H1" s="49" t="str">
        <x:v>SOURCES &amp; NOTES</x:v>
      </x:c>
      <x:c r="I1" s="49" t="str">
        <x:v>SOURCES &amp; NOTES</x:v>
      </x:c>
    </x:row>
    <x:row r="2" ht="34" customHeight="1">
      <x:c r="A2" s="49" t="str">
        <x:v>SOURCES &amp; NOTES</x:v>
      </x:c>
      <x:c r="B2" s="49" t="str">
        <x:v>SOURCES &amp; NOTES</x:v>
      </x:c>
      <x:c r="C2" s="49" t="str">
        <x:v>SOURCES &amp; NOTES</x:v>
      </x:c>
      <x:c r="D2" s="49" t="str">
        <x:v>SOURCES &amp; NOTES</x:v>
      </x:c>
      <x:c r="E2" s="49" t="str">
        <x:v>SOURCES &amp; NOTES</x:v>
      </x:c>
      <x:c r="F2" s="49" t="str">
        <x:v>SOURCES &amp; NOTES</x:v>
      </x:c>
      <x:c r="G2" s="49" t="str">
        <x:v>SOURCES &amp; NOTES</x:v>
      </x:c>
      <x:c r="H2" s="49" t="str">
        <x:v>SOURCES &amp; NOTES</x:v>
      </x:c>
      <x:c r="I2" s="49" t="str">
        <x:v>SOURCES &amp; NOTES</x:v>
      </x:c>
    </x:row>
    <x:row r="3" ht="26" customHeight="1">
      <x:c r="A3" s="64" t="str">
        <x:v>Source log for company claims, pricing references and market context.</x:v>
      </x:c>
      <x:c r="B3" s="64" t="str">
        <x:v>Source log for company claims, pricing references and market context.</x:v>
      </x:c>
      <x:c r="C3" s="64" t="str">
        <x:v>Source log for company claims, pricing references and market context.</x:v>
      </x:c>
      <x:c r="D3" s="64" t="str">
        <x:v>Source log for company claims, pricing references and market context.</x:v>
      </x:c>
      <x:c r="E3" s="64" t="str">
        <x:v>Source log for company claims, pricing references and market context.</x:v>
      </x:c>
      <x:c r="F3" s="64" t="str">
        <x:v>Source log for company claims, pricing references and market context.</x:v>
      </x:c>
      <x:c r="G3" s="64" t="str">
        <x:v>Source log for company claims, pricing references and market context.</x:v>
      </x:c>
      <x:c r="H3" s="64" t="str">
        <x:v>Source log for company claims, pricing references and market context.</x:v>
      </x:c>
      <x:c r="I3" s="64" t="str">
        <x:v>Source log for company claims, pricing references and market context.</x:v>
      </x:c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</x:row>
    <x:row r="5" ht="25" customHeight="1">
      <x:c r="A5" s="60" t="str">
        <x:v>Item</x:v>
      </x:c>
      <x:c r="B5" s="60" t="str">
        <x:v>Value</x:v>
      </x:c>
      <x:c r="C5" s="60" t="str">
        <x:v>Units</x:v>
      </x:c>
      <x:c r="D5" s="60" t="str">
        <x:v>As of</x:v>
      </x:c>
      <x:c r="E5" s="60" t="str">
        <x:v>Source type</x:v>
      </x:c>
      <x:c r="F5" s="60" t="str">
        <x:v>Source name</x:v>
      </x:c>
      <x:c r="G5" s="60" t="str">
        <x:v>Reference</x:v>
      </x:c>
      <x:c r="H5" s="60" t="str">
        <x:v>Owner</x:v>
      </x:c>
      <x:c r="I5" s="60" t="str">
        <x:v>Notes</x:v>
      </x:c>
    </x:row>
    <x:row r="6" ht="42" customHeight="1">
      <x:c r="A6" s="106" t="str">
        <x:v>Core corporate entities</x:v>
      </x:c>
      <x:c r="B6" s="106" t="n">
        <x:v>380000</x:v>
      </x:c>
      <x:c r="C6" s="106" t="str">
        <x:v>entities</x:v>
      </x:c>
      <x:c r="D6" s="106" t="str">
        <x:v>2024 / report edition 2025</x:v>
      </x:c>
      <x:c r="E6" s="106" t="str">
        <x:v>External</x:v>
      </x:c>
      <x:c r="F6" s="106" t="str">
        <x:v>OMTPME report cited in deck notes</x:v>
      </x:c>
      <x:c r="G6" s="106" t="str">
        <x:v>https://omtpme.ma/wp-content/uploads/2026/01/OMTPME_RA-Edition-2025.pdf</x:v>
      </x:c>
      <x:c r="H6" s="106" t="str">
        <x:v>Founder</x:v>
      </x:c>
      <x:c r="I6" s="106" t="str">
        <x:v>Reconfirm before circulation</x:v>
      </x:c>
    </x:row>
    <x:row r="7" ht="42" customHeight="1">
      <x:c r="A7" s="106" t="str">
        <x:v>Companies created</x:v>
      </x:c>
      <x:c r="B7" s="106" t="n">
        <x:v>95235</x:v>
      </x:c>
      <x:c r="C7" s="106" t="str">
        <x:v>companies</x:v>
      </x:c>
      <x:c r="D7" s="106" t="str">
        <x:v>2024</x:v>
      </x:c>
      <x:c r="E7" s="106" t="str">
        <x:v>External</x:v>
      </x:c>
      <x:c r="F7" s="106" t="str">
        <x:v>OMPIC</x:v>
      </x:c>
      <x:c r="G7" s="106" t="str">
        <x:v>https://www.ompic.ma/fr/actualites/creation-de-95235-entreprises-en-2024-0</x:v>
      </x:c>
      <x:c r="H7" s="106" t="str">
        <x:v>Founder</x:v>
      </x:c>
      <x:c r="I7" s="106" t="str">
        <x:v>Deck-cited market context</x:v>
      </x:c>
    </x:row>
    <x:row r="8" ht="42" customHeight="1">
      <x:c r="A8" s="106" t="str">
        <x:v>Entreprise Flex base</x:v>
      </x:c>
      <x:c r="B8" s="106" t="n">
        <x:v>299</x:v>
      </x:c>
      <x:c r="C8" s="106" t="str">
        <x:v>MAD TTC / month</x:v>
      </x:c>
      <x:c r="D8" s="106" t="str">
        <x:v>2026-08-28</x:v>
      </x:c>
      <x:c r="E8" s="106" t="str">
        <x:v>Internal</x:v>
      </x:c>
      <x:c r="F8" s="106" t="str">
        <x:v>Pricing calculator</x:v>
      </x:c>
      <x:c r="G8" s="106" t="str">
        <x:v>src/app/tarifs/PricingCalculator.tsx</x:v>
      </x:c>
      <x:c r="H8" s="106" t="str">
        <x:v>Founder</x:v>
      </x:c>
      <x:c r="I8" s="106" t="str">
        <x:v>Revalidate against production</x:v>
      </x:c>
    </x:row>
    <x:row r="9" ht="42" customHeight="1">
      <x:c r="A9" s="106" t="str">
        <x:v>Cabinet Flex base</x:v>
      </x:c>
      <x:c r="B9" s="106" t="n">
        <x:v>499</x:v>
      </x:c>
      <x:c r="C9" s="106" t="str">
        <x:v>MAD TTC / month</x:v>
      </x:c>
      <x:c r="D9" s="106" t="str">
        <x:v>2026-08-28</x:v>
      </x:c>
      <x:c r="E9" s="106" t="str">
        <x:v>Internal</x:v>
      </x:c>
      <x:c r="F9" s="106" t="str">
        <x:v>Pricing calculator</x:v>
      </x:c>
      <x:c r="G9" s="106" t="str">
        <x:v>src/app/tarifs/PricingCalculator.tsx</x:v>
      </x:c>
      <x:c r="H9" s="106" t="str">
        <x:v>Founder</x:v>
      </x:c>
      <x:c r="I9" s="106" t="str">
        <x:v>Revalidate against production</x:v>
      </x:c>
    </x:row>
    <x:row r="10" ht="42" customHeight="1">
      <x:c r="A10" s="106" t="str">
        <x:v>Product coverage</x:v>
      </x:c>
      <x:c r="B10" s="106" t="str">
        <x:v>Financial cycle breadth</x:v>
      </x:c>
      <x:c r="C10" s="106" t="str">
        <x:v>qualitative</x:v>
      </x:c>
      <x:c r="D10" s="106" t="str">
        <x:v>2026-08-28</x:v>
      </x:c>
      <x:c r="E10" s="106" t="str">
        <x:v>Internal</x:v>
      </x:c>
      <x:c r="F10" s="106" t="str">
        <x:v>Application repository</x:v>
      </x:c>
      <x:c r="G10" s="106" t="str">
        <x:v>README.md + src + migrations</x:v>
      </x:c>
      <x:c r="H10" s="106" t="str">
        <x:v>Founder / engineering</x:v>
      </x:c>
      <x:c r="I10" s="106" t="str">
        <x:v>Execution evidence, not traction</x:v>
      </x:c>
    </x:row>
    <x:row r="11" ht="42" customHeight="1">
      <x:c r="A11" s="106" t="str">
        <x:v>Release readiness</x:v>
      </x:c>
      <x:c r="B11" s="106" t="str">
        <x:v>Local checks passed; legal/live deployment items remain</x:v>
      </x:c>
      <x:c r="C11" s="106" t="str">
        <x:v>qualitative</x:v>
      </x:c>
      <x:c r="D11" s="106" t="str">
        <x:v>2026-08-18</x:v>
      </x:c>
      <x:c r="E11" s="106" t="str">
        <x:v>Internal audit</x:v>
      </x:c>
      <x:c r="F11" s="106" t="str">
        <x:v>Mohasib application audit</x:v>
      </x:c>
      <x:c r="G11" s="106" t="str">
        <x:v>reports/app-audit-2026-08-18.md</x:v>
      </x:c>
      <x:c r="H11" s="106" t="str">
        <x:v>Engineering</x:v>
      </x:c>
      <x:c r="I11" s="106" t="str">
        <x:v>Not formal assurance</x:v>
      </x:c>
    </x:row>
    <x:row r="12" ht="42" customHeight="1">
      <x:c r="A12" s="106" t="str">
        <x:v>Investor narrative</x:v>
      </x:c>
      <x:c r="B12" s="106" t="str">
        <x:v>Pre-seed company positioning and 18-month plan</x:v>
      </x:c>
      <x:c r="C12" s="106" t="str">
        <x:v>qualitative</x:v>
      </x:c>
      <x:c r="D12" s="106" t="str">
        <x:v>2026</x:v>
      </x:c>
      <x:c r="E12" s="106" t="str">
        <x:v>Internal</x:v>
      </x:c>
      <x:c r="F12" s="106" t="str">
        <x:v>Investor pitch deck</x:v>
      </x:c>
      <x:c r="G12" s="106" t="str">
        <x:v>Mohasib_Investor_Pitch_Deck.pptx</x:v>
      </x:c>
      <x:c r="H12" s="106" t="str">
        <x:v>Founder</x:v>
      </x:c>
      <x:c r="I12" s="106" t="str">
        <x:v>Company-authored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  <x:col min="7" max="7" width="18" hidden="0" customWidth="1"/>
  </x:cols>
  <x:sheetData>
    <x:row r="1" ht="34" customHeight="1">
      <x:c r="A1" s="49" t="str">
        <x:v>READINESS CHECKS</x:v>
      </x:c>
      <x:c r="B1" s="49" t="str">
        <x:v>READINESS CHECKS</x:v>
      </x:c>
      <x:c r="C1" s="49" t="str">
        <x:v>READINESS CHECKS</x:v>
      </x:c>
      <x:c r="D1" s="49" t="str">
        <x:v>READINESS CHECKS</x:v>
      </x:c>
      <x:c r="E1" s="49" t="str">
        <x:v>READINESS CHECKS</x:v>
      </x:c>
      <x:c r="F1" s="49" t="str">
        <x:v>READINESS CHECKS</x:v>
      </x:c>
      <x:c r="G1" s="49" t="str">
        <x:v>READINESS CHECKS</x:v>
      </x:c>
    </x:row>
    <x:row r="2" ht="34" customHeight="1">
      <x:c r="A2" s="49" t="str">
        <x:v>READINESS CHECKS</x:v>
      </x:c>
      <x:c r="B2" s="49" t="str">
        <x:v>READINESS CHECKS</x:v>
      </x:c>
      <x:c r="C2" s="49" t="str">
        <x:v>READINESS CHECKS</x:v>
      </x:c>
      <x:c r="D2" s="49" t="str">
        <x:v>READINESS CHECKS</x:v>
      </x:c>
      <x:c r="E2" s="49" t="str">
        <x:v>READINESS CHECKS</x:v>
      </x:c>
      <x:c r="F2" s="49" t="str">
        <x:v>READINESS CHECKS</x:v>
      </x:c>
      <x:c r="G2" s="49" t="str">
        <x:v>READINESS CHECKS</x:v>
      </x:c>
    </x:row>
    <x:row r="3" ht="26" customHeight="1">
      <x:c r="A3" s="64" t="str">
        <x:v>READY means required fields are complete and the uses allocation reconciles; it is not an audit opinion.</x:v>
      </x:c>
      <x:c r="B3" s="64" t="str">
        <x:v>READY means required fields are complete and the uses allocation reconciles; it is not an audit opinion.</x:v>
      </x:c>
      <x:c r="C3" s="64" t="str">
        <x:v>READY means required fields are complete and the uses allocation reconciles; it is not an audit opinion.</x:v>
      </x:c>
      <x:c r="D3" s="64" t="str">
        <x:v>READY means required fields are complete and the uses allocation reconciles; it is not an audit opinion.</x:v>
      </x:c>
      <x:c r="E3" s="64" t="str">
        <x:v>READY means required fields are complete and the uses allocation reconciles; it is not an audit opinion.</x:v>
      </x:c>
      <x:c r="F3" s="64" t="str">
        <x:v>READY means required fields are complete and the uses allocation reconciles; it is not an audit opinion.</x:v>
      </x:c>
      <x:c r="G3" s="64" t="str">
        <x:v>READY means required fields are complete and the uses allocation reconciles; it is not an audit opinion.</x:v>
      </x:c>
    </x:row>
    <x:row r="4">
      <x:c r="A4" s="65"/>
      <x:c r="B4" s="65"/>
      <x:c r="C4" s="65"/>
      <x:c r="D4" s="65"/>
      <x:c r="E4" s="65"/>
      <x:c r="F4" s="65"/>
      <x:c r="G4" s="65"/>
    </x:row>
    <x:row r="5" ht="25" customHeight="1">
      <x:c r="A5" s="60" t="str">
        <x:v>Check</x:v>
      </x:c>
      <x:c r="B5" s="60" t="str">
        <x:v>Actual</x:v>
      </x:c>
      <x:c r="C5" s="60" t="str">
        <x:v>Expected</x:v>
      </x:c>
      <x:c r="D5" s="60" t="str">
        <x:v>Difference</x:v>
      </x:c>
      <x:c r="E5" s="60" t="str">
        <x:v>Tolerance</x:v>
      </x:c>
      <x:c r="F5" s="60" t="str">
        <x:v>Where to fix</x:v>
      </x:c>
      <x:c r="G5" s="60" t="str">
        <x:v>Status</x:v>
      </x:c>
    </x:row>
    <x:row r="6">
      <x:c r="A6" s="65" t="str">
        <x:v>Use of funds totals 100%</x:v>
      </x:c>
      <x:c r="B6" s="98" t="n">
        <x:f>'Raise &amp; Uses'!B24</x:f>
        <x:v>1</x:v>
      </x:c>
      <x:c r="C6" s="98" t="n">
        <x:v>1</x:v>
      </x:c>
      <x:c r="D6" s="98" t="n">
        <x:f>B6-C6</x:f>
        <x:v>0</x:v>
      </x:c>
      <x:c r="E6" s="98" t="n">
        <x:v>0.0001</x:v>
      </x:c>
      <x:c r="F6" s="65" t="str">
        <x:v>Raise &amp; Uses!B19:B23</x:v>
      </x:c>
      <x:c r="G6" s="65" t="str">
        <x:f>IF(ABS(D6)&lt;=E6,"OK","FAIL")</x:f>
        <x:v>OK</x:v>
      </x:c>
    </x:row>
    <x:row r="7">
      <x:c r="A7" s="65" t="str">
        <x:v>Use-of-funds amount ties to round</x:v>
      </x:c>
      <x:c r="B7" s="98" t="n">
        <x:f>'Raise &amp; Uses'!C24</x:f>
        <x:v>0</x:v>
      </x:c>
      <x:c r="C7" s="98" t="n">
        <x:f>'Raise &amp; Uses'!B6</x:f>
        <x:v>0</x:v>
      </x:c>
      <x:c r="D7" s="98" t="n">
        <x:f>B7-C7</x:f>
        <x:v>0</x:v>
      </x:c>
      <x:c r="E7" s="98" t="n">
        <x:v>1</x:v>
      </x:c>
      <x:c r="F7" s="65" t="str">
        <x:v>Raise &amp; Uses!B6 and C24</x:v>
      </x:c>
      <x:c r="G7" s="65" t="str">
        <x:f>IF(AND(C7&gt;0,ABS(D7)&lt;=E7),"OK","FAIL")</x:f>
        <x:v>FAIL</x:v>
      </x:c>
    </x:row>
    <x:row r="8">
      <x:c r="A8" s="65" t="str">
        <x:v>Round terms completed</x:v>
      </x:c>
      <x:c r="B8" s="98" t="n">
        <x:f>COUNTIF('Raise &amp; Uses'!B6:B12,"&gt;0")+COUNTIF('Raise &amp; Uses'!B6:B12,"&lt;&gt;TBD")-COUNTIF('Raise &amp; Uses'!B6:B12,"=0")</x:f>
        <x:v>0</x:v>
      </x:c>
      <x:c r="C8" s="98" t="n">
        <x:v>6</x:v>
      </x:c>
      <x:c r="D8" s="98" t="n">
        <x:f>B8-C8</x:f>
        <x:v>-6</x:v>
      </x:c>
      <x:c r="E8" s="98" t="n">
        <x:v>0</x:v>
      </x:c>
      <x:c r="F8" s="65" t="str">
        <x:v>Raise &amp; Uses!B6:B12</x:v>
      </x:c>
      <x:c r="G8" s="65" t="str">
        <x:f>IF(B8&gt;=C8,"OK","FAIL")</x:f>
        <x:v>FAIL</x:v>
      </x:c>
    </x:row>
    <x:row r="9">
      <x:c r="A9" s="65" t="str">
        <x:v>Core traction populated</x:v>
      </x:c>
      <x:c r="B9" s="98" t="n">
        <x:f>COUNTIF('KPI Snapshot'!B6:B10,"&gt;0")</x:f>
        <x:v>0</x:v>
      </x:c>
      <x:c r="C9" s="98" t="n">
        <x:v>5</x:v>
      </x:c>
      <x:c r="D9" s="98" t="n">
        <x:f>B9-C9</x:f>
        <x:v>-5</x:v>
      </x:c>
      <x:c r="E9" s="98" t="n">
        <x:v>0</x:v>
      </x:c>
      <x:c r="F9" s="65" t="str">
        <x:v>KPI Snapshot!B6:B10</x:v>
      </x:c>
      <x:c r="G9" s="65" t="str">
        <x:f>IF(B9&gt;=C9,"OK","FAIL")</x:f>
        <x:v>FAIL</x:v>
      </x:c>
    </x:row>
    <x:row r="10">
      <x:c r="A10" s="65" t="str">
        <x:v>Unit economics populated</x:v>
      </x:c>
      <x:c r="B10" s="98" t="n">
        <x:f>COUNTIF('Unit Economics'!B7:B10,"&gt;0")</x:f>
        <x:v>0</x:v>
      </x:c>
      <x:c r="C10" s="98" t="n">
        <x:v>4</x:v>
      </x:c>
      <x:c r="D10" s="98" t="n">
        <x:f>B10-C10</x:f>
        <x:v>-4</x:v>
      </x:c>
      <x:c r="E10" s="98" t="n">
        <x:v>0</x:v>
      </x:c>
      <x:c r="F10" s="65" t="str">
        <x:v>Unit Economics!B7:B10</x:v>
      </x:c>
      <x:c r="G10" s="65" t="str">
        <x:f>IF(B10&gt;=C10,"OK","FAIL")</x:f>
        <x:v>FAIL</x:v>
      </x:c>
    </x:row>
    <x:row r="11">
      <x:c r="A11" s="65" t="str">
        <x:v>Critical data-room items ready</x:v>
      </x:c>
      <x:c r="B11" s="98" t="n">
        <x:f>COUNTIFS('Data Room'!C6:C24,"Critical",'Data Room'!D6:D24,"&lt;&gt;Ready")</x:f>
        <x:v>9</x:v>
      </x:c>
      <x:c r="C11" s="98" t="n">
        <x:v>0</x:v>
      </x:c>
      <x:c r="D11" s="98" t="n">
        <x:f>B11-C11</x:f>
        <x:v>9</x:v>
      </x:c>
      <x:c r="E11" s="98" t="n">
        <x:v>0</x:v>
      </x:c>
      <x:c r="F11" s="65" t="str">
        <x:v>Data Room!C6:D24</x:v>
      </x:c>
      <x:c r="G11" s="65" t="str">
        <x:f>IF(B11=0,"OK","FAIL")</x:f>
        <x:v>FAIL</x:v>
      </x:c>
    </x:row>
    <x:row r="12">
      <x:c r="A12" s="65" t="str">
        <x:v>18-month milestones owned</x:v>
      </x:c>
      <x:c r="B12" s="98" t="n">
        <x:f>COUNTIF('18M Plan'!D6:D14,"&lt;&gt;")</x:f>
        <x:v>9</x:v>
      </x:c>
      <x:c r="C12" s="98" t="n">
        <x:v>9</x:v>
      </x:c>
      <x:c r="D12" s="98" t="n">
        <x:f>B12-C12</x:f>
        <x:v>0</x:v>
      </x:c>
      <x:c r="E12" s="98" t="n">
        <x:v>0</x:v>
      </x:c>
      <x:c r="F12" s="65" t="str">
        <x:v>18M Plan!D6:D14</x:v>
      </x:c>
      <x:c r="G12" s="65" t="str">
        <x:f>IF(B12&gt;=C12,"OK","FAIL")</x:f>
        <x:v>OK</x:v>
      </x:c>
    </x:row>
    <x:row r="13">
      <x:c r="A13" s="95" t="str">
        <x:v>OVERALL MODEL STATUS</x:v>
      </x:c>
      <x:c r="B13" s="95"/>
      <x:c r="C13" s="95"/>
      <x:c r="D13" s="95"/>
      <x:c r="E13" s="95"/>
      <x:c r="F13" s="95" t="str">
        <x:v>Resolve failed checks above</x:v>
      </x:c>
      <x:c r="G13" s="95" t="str">
        <x:f>IF(COUNTIF(G6:G12,"FAIL")=0,"READY","NEEDS INPUT")</x:f>
        <x:v>NEEDS INPUT</x:v>
      </x:c>
    </x:row>
  </x:sheetData>
  <x:mergeCells>
    <x:mergeCell ref="A1:G2"/>
    <x:mergeCell ref="A3:G3"/>
  </x:mergeCells>
  <x:conditionalFormatting sqref="G6:G13">
    <x:cfRule type="containsText" dxfId="4" priority="1" operator="containsText" text="OK"/>
    <x:cfRule type="containsText" dxfId="5" priority="2" operator="containsText" text="FAIL"/>
  </x:conditionalFormatting>
  <x:conditionalFormatting sqref="G13:G13">
    <x:cfRule type="containsText" dxfId="6" priority="3" operator="containsText" text="READY"/>
    <x:cfRule type="containsText" dxfId="7" priority="4" operator="containsText" text="NEEDS INPUT"/>
  </x:conditionalFormatting>
  <x:pageMargins left="0.7" right="0.7" top="0.75" bottom="0.75" header="0.3" footer="0.3"/>
</x:worksheet>
</file>